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comments/comment2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3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4.xml" ContentType="application/vnd.openxmlformats-officedocument.spreadsheetml.comments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790" firstSheet="0" activeTab="1" autoFilterDateGrouping="1"/>
  </bookViews>
  <sheets>
    <sheet name="Title" sheetId="1" state="visible" r:id="rId1"/>
    <sheet name=" Report" sheetId="2" state="visible" r:id="rId2"/>
    <sheet name="Pressures A" sheetId="3" state="visible" r:id="rId3"/>
    <sheet name="Pressures B" sheetId="4" state="visible" r:id="rId4"/>
    <sheet name="Low Temperatures" sheetId="5" state="visible" r:id="rId5"/>
    <sheet name="High Temperatures A" sheetId="6" state="visible" r:id="rId6"/>
    <sheet name="High Temperatures B" sheetId="7" state="visible" r:id="rId7"/>
    <sheet name="Engine Speed" sheetId="8" state="visible" r:id="rId8"/>
    <sheet name="Analogue Inputs " sheetId="9" state="visible" r:id="rId9"/>
    <sheet name="Failed Transducers" sheetId="10" state="visible" r:id="rId10"/>
  </sheets>
  <externalReferences>
    <externalReference r:id="rId11"/>
  </externalReferences>
  <definedNames>
    <definedName name="CSOS">#REF!,#REF!,#REF!,#REF!,#REF!</definedName>
    <definedName name="CSOS2">#REF!</definedName>
    <definedName name="Gear">#REF!</definedName>
    <definedName name="GearNo">#REF!</definedName>
    <definedName name="Gears">#REF!</definedName>
    <definedName name="GearsCSOS">[1]CSOS!$A$17:$A$18</definedName>
    <definedName name="Model">#REF!</definedName>
    <definedName name="Models">#REF!</definedName>
    <definedName name="TCOS">#REF!</definedName>
    <definedName name="TOS">#REF!</definedName>
    <definedName name="TransmissionModel">#REF!</definedName>
    <definedName name="_xlnm.Print_Area" localSheetId="0">'Title'!$B$2:$G$15</definedName>
    <definedName name="_xlnm.Print_Area" localSheetId="1">' Report'!$A$1:$X$63</definedName>
  </definedNames>
  <calcPr calcId="191028" fullCalcOnLoad="1"/>
</workbook>
</file>

<file path=xl/styles.xml><?xml version="1.0" encoding="utf-8"?>
<styleSheet xmlns="http://schemas.openxmlformats.org/spreadsheetml/2006/main">
  <numFmts count="9">
    <numFmt numFmtId="164" formatCode="0.0"/>
    <numFmt numFmtId="165" formatCode="0.000"/>
    <numFmt numFmtId="166" formatCode="d/m/yy"/>
    <numFmt numFmtId="167" formatCode="dd\-mmmm\-yyyy"/>
    <numFmt numFmtId="168" formatCode="mmmm\-yy"/>
    <numFmt numFmtId="169" formatCode="mmmm\-yyyy"/>
    <numFmt numFmtId="170" formatCode="[$-809]dd\ mmmm\ yyyy;@"/>
    <numFmt numFmtId="171" formatCode="mmmm\ yyyy"/>
    <numFmt numFmtId="172" formatCode="[$-809]\ mmmm\ yyyy;@"/>
  </numFmts>
  <fonts count="68">
    <font>
      <name val="Arial"/>
      <sz val="10"/>
    </font>
    <font>
      <name val="Arial"/>
      <family val="2"/>
      <b val="1"/>
      <sz val="10"/>
    </font>
    <font>
      <name val="Arial"/>
      <family val="2"/>
      <sz val="10"/>
    </font>
    <font>
      <name val="Arial"/>
      <family val="2"/>
      <sz val="13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b val="1"/>
      <i val="1"/>
      <color indexed="10"/>
      <sz val="10"/>
    </font>
    <font>
      <name val="Arial"/>
      <family val="2"/>
      <sz val="16"/>
    </font>
    <font>
      <name val="Arial"/>
      <family val="2"/>
      <b val="1"/>
      <color indexed="10"/>
      <sz val="10"/>
    </font>
    <font>
      <name val="Arial"/>
      <family val="2"/>
      <sz val="20"/>
    </font>
    <font>
      <name val="Arial"/>
      <family val="2"/>
      <sz val="15"/>
    </font>
    <font>
      <name val="Arial"/>
      <family val="2"/>
      <sz val="12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10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62"/>
      <sz val="15"/>
    </font>
    <font>
      <name val="Calibri"/>
      <family val="2"/>
      <b val="1"/>
      <color indexed="62"/>
      <sz val="13"/>
    </font>
    <font>
      <name val="Calibri"/>
      <family val="2"/>
      <b val="1"/>
      <color indexed="62"/>
      <sz val="11"/>
    </font>
    <font>
      <name val="Calibri"/>
      <family val="2"/>
      <color indexed="62"/>
      <sz val="11"/>
    </font>
    <font>
      <name val="Calibri"/>
      <family val="2"/>
      <color indexed="10"/>
      <sz val="11"/>
    </font>
    <font>
      <name val="Calibri"/>
      <family val="2"/>
      <color indexed="19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62"/>
      <sz val="18"/>
    </font>
    <font>
      <name val="Calibri"/>
      <family val="2"/>
      <b val="1"/>
      <color indexed="8"/>
      <sz val="11"/>
    </font>
    <font>
      <name val="Arial"/>
      <family val="2"/>
      <color indexed="12"/>
      <sz val="12"/>
    </font>
    <font>
      <name val="Arial"/>
      <family val="2"/>
      <sz val="10"/>
    </font>
    <font>
      <name val="Times New Roman"/>
      <family val="1"/>
      <sz val="10"/>
    </font>
    <font>
      <name val="Times New Roman"/>
      <family val="1"/>
      <b val="1"/>
      <sz val="10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Arial"/>
      <family val="2"/>
      <b val="1"/>
      <sz val="13"/>
    </font>
    <font>
      <name val="Arial"/>
      <family val="2"/>
      <b val="1"/>
      <i val="1"/>
      <sz val="10"/>
    </font>
    <font>
      <name val="Arial"/>
      <family val="2"/>
      <b val="1"/>
      <color indexed="56"/>
      <sz val="20"/>
    </font>
    <font>
      <name val="Arial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family val="2"/>
      <color theme="4"/>
      <sz val="16"/>
    </font>
    <font>
      <name val="Arial"/>
      <family val="2"/>
      <b val="1"/>
      <i val="1"/>
      <color rgb="FFFF0000"/>
      <sz val="10"/>
    </font>
    <font>
      <name val="Arial"/>
      <family val="2"/>
      <b val="1"/>
      <color theme="3"/>
      <sz val="24"/>
    </font>
    <font>
      <name val="Calibri"/>
      <family val="2"/>
      <b val="1"/>
      <sz val="11"/>
      <scheme val="minor"/>
    </font>
    <font>
      <name val="Arial"/>
      <family val="2"/>
      <color theme="3"/>
      <sz val="10"/>
    </font>
    <font>
      <name val="Arial"/>
      <family val="2"/>
      <color rgb="FFFF0000"/>
      <sz val="10"/>
    </font>
    <font>
      <name val="Calibri"/>
      <family val="2"/>
      <b val="1"/>
      <color rgb="FF000000"/>
      <sz val="11"/>
    </font>
    <font>
      <name val="Arial"/>
      <family val="2"/>
      <b val="1"/>
      <color theme="3"/>
      <sz val="22"/>
    </font>
    <font>
      <name val="Arial"/>
      <family val="2"/>
      <b val="1"/>
      <color theme="6" tint="-0.249977111117893"/>
      <sz val="10"/>
    </font>
    <font>
      <name val="Arial"/>
      <family val="2"/>
      <color theme="6" tint="-0.249977111117893"/>
      <sz val="10"/>
    </font>
    <font>
      <name val="Arial"/>
      <family val="2"/>
      <b val="1"/>
      <color theme="3"/>
      <sz val="20"/>
    </font>
    <font>
      <name val="Arial"/>
      <family val="2"/>
      <b val="1"/>
      <color theme="6" tint="-0.499984740745262"/>
      <sz val="10"/>
    </font>
    <font>
      <name val="Arial"/>
      <family val="2"/>
      <b val="1"/>
      <color rgb="FFFF0000"/>
      <sz val="11"/>
    </font>
    <font>
      <name val="Arial"/>
      <family val="2"/>
      <sz val="11"/>
    </font>
    <font>
      <name val="Arial"/>
      <family val="2"/>
      <color theme="6" tint="-0.499984740745262"/>
      <sz val="10"/>
    </font>
    <font>
      <name val="Arial"/>
      <family val="2"/>
      <b val="1"/>
      <color theme="3"/>
      <sz val="10"/>
    </font>
    <font>
      <name val="Arial"/>
      <family val="2"/>
      <b val="1"/>
      <color rgb="FFFF0000"/>
      <sz val="10"/>
    </font>
    <font>
      <name val="Arial"/>
      <family val="2"/>
      <i val="1"/>
      <sz val="10"/>
    </font>
    <font>
      <name val="Calibri"/>
      <family val="2"/>
      <i val="1"/>
      <sz val="10"/>
    </font>
    <font>
      <name val="Arial"/>
      <family val="2"/>
      <i val="1"/>
      <sz val="8"/>
    </font>
    <font>
      <name val="Calibri"/>
      <family val="2"/>
      <b val="1"/>
      <i val="1"/>
      <color theme="6" tint="-0.499984740745262"/>
      <sz val="10"/>
    </font>
    <font>
      <name val="Arial"/>
      <family val="2"/>
      <b val="1"/>
      <i val="1"/>
      <color rgb="FF0070C0"/>
      <sz val="10"/>
    </font>
    <font>
      <name val="Arial"/>
      <family val="2"/>
      <b val="1"/>
      <color rgb="FF0070C0"/>
      <sz val="10"/>
    </font>
    <font>
      <name val="Arial"/>
      <family val="2"/>
      <b val="1"/>
      <i val="1"/>
      <color theme="3"/>
      <sz val="10"/>
    </font>
    <font>
      <name val="Calibri"/>
      <family val="2"/>
      <b val="1"/>
      <color rgb="FFFF0000"/>
      <sz val="10"/>
    </font>
    <font>
      <name val="Calibri"/>
      <family val="2"/>
      <b val="1"/>
      <color rgb="FF0070C0"/>
      <sz val="10"/>
    </font>
  </fonts>
  <fills count="29">
    <fill>
      <patternFill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"/>
        <bgColor indexed="64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5">
    <xf numFmtId="0" fontId="0" fillId="0" borderId="0"/>
    <xf numFmtId="0" fontId="14" fillId="2" borderId="0"/>
    <xf numFmtId="0" fontId="14" fillId="3" borderId="0"/>
    <xf numFmtId="0" fontId="14" fillId="4" borderId="0"/>
    <xf numFmtId="0" fontId="14" fillId="5" borderId="0"/>
    <xf numFmtId="0" fontId="14" fillId="6" borderId="0"/>
    <xf numFmtId="0" fontId="14" fillId="4" borderId="0"/>
    <xf numFmtId="0" fontId="14" fillId="6" borderId="0"/>
    <xf numFmtId="0" fontId="14" fillId="3" borderId="0"/>
    <xf numFmtId="0" fontId="14" fillId="7" borderId="0"/>
    <xf numFmtId="0" fontId="14" fillId="8" borderId="0"/>
    <xf numFmtId="0" fontId="14" fillId="6" borderId="0"/>
    <xf numFmtId="0" fontId="14" fillId="4" borderId="0"/>
    <xf numFmtId="0" fontId="15" fillId="6" borderId="0"/>
    <xf numFmtId="0" fontId="15" fillId="9" borderId="0"/>
    <xf numFmtId="0" fontId="15" fillId="10" borderId="0"/>
    <xf numFmtId="0" fontId="15" fillId="8" borderId="0"/>
    <xf numFmtId="0" fontId="15" fillId="6" borderId="0"/>
    <xf numFmtId="0" fontId="15" fillId="3" borderId="0"/>
    <xf numFmtId="0" fontId="15" fillId="11" borderId="0"/>
    <xf numFmtId="0" fontId="15" fillId="9" borderId="0"/>
    <xf numFmtId="0" fontId="15" fillId="10" borderId="0"/>
    <xf numFmtId="0" fontId="15" fillId="12" borderId="0"/>
    <xf numFmtId="0" fontId="15" fillId="13" borderId="0"/>
    <xf numFmtId="0" fontId="15" fillId="14" borderId="0"/>
    <xf numFmtId="0" fontId="16" fillId="15" borderId="0"/>
    <xf numFmtId="0" fontId="17" fillId="16" borderId="1"/>
    <xf numFmtId="0" fontId="18" fillId="17" borderId="2"/>
    <xf numFmtId="0" fontId="19" fillId="0" borderId="0"/>
    <xf numFmtId="0" fontId="20" fillId="6" borderId="0"/>
    <xf numFmtId="0" fontId="21" fillId="0" borderId="3"/>
    <xf numFmtId="0" fontId="22" fillId="0" borderId="4"/>
    <xf numFmtId="0" fontId="23" fillId="0" borderId="5"/>
    <xf numFmtId="0" fontId="23" fillId="0" borderId="0"/>
    <xf numFmtId="0" fontId="24" fillId="7" borderId="1"/>
    <xf numFmtId="0" fontId="25" fillId="0" borderId="6"/>
    <xf numFmtId="0" fontId="26" fillId="7" borderId="0"/>
    <xf numFmtId="0" fontId="31" fillId="0" borderId="0"/>
    <xf numFmtId="0" fontId="31" fillId="0" borderId="0"/>
    <xf numFmtId="0" fontId="31" fillId="0" borderId="0"/>
    <xf numFmtId="0" fontId="31" fillId="4" borderId="7"/>
    <xf numFmtId="0" fontId="27" fillId="16" borderId="8"/>
    <xf numFmtId="0" fontId="28" fillId="0" borderId="0"/>
    <xf numFmtId="0" fontId="29" fillId="0" borderId="9"/>
    <xf numFmtId="0" fontId="25" fillId="0" borderId="0"/>
  </cellStyleXfs>
  <cellXfs count="588">
    <xf numFmtId="0" fontId="0" fillId="0" borderId="0" pivotButton="0" quotePrefix="0" xfId="0"/>
    <xf numFmtId="0" fontId="4" fillId="0" borderId="0" pivotButton="0" quotePrefix="0" xfId="0"/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/>
    </xf>
    <xf numFmtId="0" fontId="5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" fillId="18" borderId="0" applyAlignment="1" applyProtection="1" pivotButton="0" quotePrefix="0" xfId="0">
      <alignment horizontal="centerContinuous" vertical="center"/>
      <protection locked="1" hidden="1"/>
    </xf>
    <xf numFmtId="0" fontId="2" fillId="18" borderId="0" applyAlignment="1" applyProtection="1" pivotButton="0" quotePrefix="0" xfId="0">
      <alignment vertical="center"/>
      <protection locked="1" hidden="1"/>
    </xf>
    <xf numFmtId="0" fontId="10" fillId="0" borderId="0" applyAlignment="1" pivotButton="0" quotePrefix="0" xfId="0">
      <alignment vertical="center"/>
    </xf>
    <xf numFmtId="0" fontId="2" fillId="18" borderId="0" applyAlignment="1" applyProtection="1" pivotButton="0" quotePrefix="0" xfId="0">
      <alignment horizontal="right" vertical="center"/>
      <protection locked="1" hidden="1"/>
    </xf>
    <xf numFmtId="0" fontId="2" fillId="18" borderId="0" applyAlignment="1" applyProtection="1" pivotButton="0" quotePrefix="0" xfId="37">
      <alignment horizontal="right" vertical="center"/>
      <protection locked="1" hidden="1"/>
    </xf>
    <xf numFmtId="0" fontId="2" fillId="18" borderId="0" applyAlignment="1" applyProtection="1" pivotButton="0" quotePrefix="0" xfId="37">
      <alignment horizontal="centerContinuous" vertical="center"/>
      <protection locked="1" hidden="1"/>
    </xf>
    <xf numFmtId="0" fontId="1" fillId="18" borderId="0" applyAlignment="1" applyProtection="1" pivotButton="0" quotePrefix="0" xfId="37">
      <alignment horizontal="centerContinuous" vertical="center"/>
      <protection locked="1" hidden="1"/>
    </xf>
    <xf numFmtId="0" fontId="2" fillId="18" borderId="0" applyAlignment="1" applyProtection="1" pivotButton="0" quotePrefix="0" xfId="37">
      <alignment vertical="center"/>
      <protection locked="1" hidden="1"/>
    </xf>
    <xf numFmtId="0" fontId="2" fillId="18" borderId="0" applyAlignment="1" applyProtection="1" pivotButton="0" quotePrefix="0" xfId="37">
      <alignment horizontal="left" vertical="center"/>
      <protection locked="1" hidden="1"/>
    </xf>
    <xf numFmtId="0" fontId="2" fillId="0" borderId="10" applyAlignment="1" applyProtection="1" pivotButton="0" quotePrefix="0" xfId="0">
      <alignment horizontal="center" vertical="center"/>
      <protection locked="0" hidden="0"/>
    </xf>
    <xf numFmtId="0" fontId="2" fillId="0" borderId="11" applyAlignment="1" applyProtection="1" pivotButton="0" quotePrefix="0" xfId="0">
      <alignment horizontal="center" vertical="center"/>
      <protection locked="0" hidden="0"/>
    </xf>
    <xf numFmtId="0" fontId="2" fillId="18" borderId="0" applyAlignment="1" applyProtection="1" pivotButton="0" quotePrefix="0" xfId="0">
      <alignment horizontal="center" vertical="center"/>
      <protection locked="1" hidden="1"/>
    </xf>
    <xf numFmtId="0" fontId="2" fillId="18" borderId="0" applyProtection="1" pivotButton="0" quotePrefix="0" xfId="0">
      <protection locked="1" hidden="1"/>
    </xf>
    <xf numFmtId="0" fontId="2" fillId="0" borderId="0" applyAlignment="1" pivotButton="0" quotePrefix="0" xfId="0">
      <alignment vertical="center"/>
    </xf>
    <xf numFmtId="0" fontId="1" fillId="18" borderId="0" applyAlignment="1" applyProtection="1" pivotButton="0" quotePrefix="0" xfId="0">
      <alignment horizontal="centerContinuous" vertical="center"/>
      <protection locked="1" hidden="1"/>
    </xf>
    <xf numFmtId="0" fontId="1" fillId="0" borderId="0" applyAlignment="1" pivotButton="0" quotePrefix="0" xfId="0">
      <alignment vertical="center"/>
    </xf>
    <xf numFmtId="164" fontId="2" fillId="18" borderId="0" applyAlignment="1" applyProtection="1" pivotButton="0" quotePrefix="0" xfId="37">
      <alignment horizontal="center" vertical="center"/>
      <protection locked="1" hidden="1"/>
    </xf>
    <xf numFmtId="0" fontId="2" fillId="18" borderId="0" applyAlignment="1" applyProtection="1" pivotButton="0" quotePrefix="0" xfId="37">
      <alignment horizontal="center" vertical="center"/>
      <protection locked="1" hidden="1"/>
    </xf>
    <xf numFmtId="0" fontId="2" fillId="0" borderId="0" applyAlignment="1" applyProtection="1" pivotButton="0" quotePrefix="0" xfId="37">
      <alignment horizontal="center" vertical="center"/>
      <protection locked="0" hidden="0"/>
    </xf>
    <xf numFmtId="0" fontId="2" fillId="22" borderId="10" applyAlignment="1" applyProtection="1" pivotButton="0" quotePrefix="0" xfId="37">
      <alignment horizontal="center" vertical="center"/>
      <protection locked="1" hidden="1"/>
    </xf>
    <xf numFmtId="165" fontId="2" fillId="0" borderId="12" applyAlignment="1" applyProtection="1" pivotButton="0" quotePrefix="0" xfId="37">
      <alignment horizontal="center" vertical="center"/>
      <protection locked="0" hidden="0"/>
    </xf>
    <xf numFmtId="165" fontId="2" fillId="0" borderId="13" applyAlignment="1" applyProtection="1" pivotButton="0" quotePrefix="0" xfId="37">
      <alignment horizontal="center" vertical="center"/>
      <protection locked="0" hidden="0"/>
    </xf>
    <xf numFmtId="165" fontId="2" fillId="0" borderId="14" applyAlignment="1" applyProtection="1" pivotButton="0" quotePrefix="0" xfId="37">
      <alignment horizontal="center" vertical="center"/>
      <protection locked="0" hidden="0"/>
    </xf>
    <xf numFmtId="0" fontId="42" fillId="0" borderId="0" applyAlignment="1" pivotButton="0" quotePrefix="0" xfId="0">
      <alignment vertical="center"/>
    </xf>
    <xf numFmtId="0" fontId="30" fillId="0" borderId="0" applyAlignment="1" pivotButton="0" quotePrefix="0" xfId="0">
      <alignment vertical="center"/>
    </xf>
    <xf numFmtId="165" fontId="2" fillId="0" borderId="12" applyAlignment="1" applyProtection="1" pivotButton="0" quotePrefix="0" xfId="0">
      <alignment horizontal="center" vertical="center"/>
      <protection locked="0" hidden="0"/>
    </xf>
    <xf numFmtId="165" fontId="2" fillId="0" borderId="13" applyAlignment="1" applyProtection="1" pivotButton="0" quotePrefix="0" xfId="0">
      <alignment horizontal="center" vertical="center"/>
      <protection locked="0" hidden="0"/>
    </xf>
    <xf numFmtId="165" fontId="2" fillId="0" borderId="14" applyAlignment="1" applyProtection="1" pivotButton="0" quotePrefix="0" xfId="0">
      <alignment horizontal="center" vertical="center"/>
      <protection locked="0" hidden="0"/>
    </xf>
    <xf numFmtId="0" fontId="2" fillId="0" borderId="0" pivotButton="0" quotePrefix="0" xfId="0"/>
    <xf numFmtId="0" fontId="2" fillId="18" borderId="15" applyAlignment="1" applyProtection="1" pivotButton="0" quotePrefix="0" xfId="0">
      <alignment horizontal="centerContinuous" vertical="center"/>
      <protection locked="1" hidden="1"/>
    </xf>
    <xf numFmtId="0" fontId="2" fillId="18" borderId="16" applyAlignment="1" applyProtection="1" pivotButton="0" quotePrefix="0" xfId="0">
      <alignment horizontal="centerContinuous" vertical="center"/>
      <protection locked="1" hidden="1"/>
    </xf>
    <xf numFmtId="0" fontId="2" fillId="18" borderId="17" applyAlignment="1" applyProtection="1" pivotButton="0" quotePrefix="0" xfId="37">
      <alignment horizontal="centerContinuous" vertical="center"/>
      <protection locked="1" hidden="1"/>
    </xf>
    <xf numFmtId="0" fontId="2" fillId="18" borderId="15" applyAlignment="1" applyProtection="1" pivotButton="0" quotePrefix="0" xfId="37">
      <alignment horizontal="centerContinuous" vertical="center"/>
      <protection locked="1" hidden="1"/>
    </xf>
    <xf numFmtId="0" fontId="2" fillId="18" borderId="18" applyAlignment="1" applyProtection="1" pivotButton="0" quotePrefix="0" xfId="37">
      <alignment horizontal="centerContinuous" vertical="center"/>
      <protection locked="1" hidden="1"/>
    </xf>
    <xf numFmtId="0" fontId="2" fillId="18" borderId="19" applyAlignment="1" applyProtection="1" pivotButton="0" quotePrefix="0" xfId="37">
      <alignment horizontal="centerContinuous" vertical="center"/>
      <protection locked="1" hidden="1"/>
    </xf>
    <xf numFmtId="0" fontId="2" fillId="18" borderId="19" applyAlignment="1" applyProtection="1" pivotButton="0" quotePrefix="0" xfId="37">
      <alignment vertical="center"/>
      <protection locked="1" hidden="1"/>
    </xf>
    <xf numFmtId="0" fontId="8" fillId="18" borderId="18" applyAlignment="1" applyProtection="1" pivotButton="0" quotePrefix="0" xfId="37">
      <alignment horizontal="centerContinuous" vertical="center"/>
      <protection locked="1" hidden="1"/>
    </xf>
    <xf numFmtId="0" fontId="1" fillId="18" borderId="19" applyAlignment="1" applyProtection="1" pivotButton="0" quotePrefix="0" xfId="37">
      <alignment horizontal="centerContinuous" vertical="center"/>
      <protection locked="1" hidden="1"/>
    </xf>
    <xf numFmtId="0" fontId="2" fillId="18" borderId="18" applyAlignment="1" applyProtection="1" pivotButton="0" quotePrefix="0" xfId="37">
      <alignment vertical="center"/>
      <protection locked="1" hidden="1"/>
    </xf>
    <xf numFmtId="0" fontId="2" fillId="18" borderId="20" applyAlignment="1" applyProtection="1" pivotButton="0" quotePrefix="0" xfId="37">
      <alignment vertical="center"/>
      <protection locked="1" hidden="1"/>
    </xf>
    <xf numFmtId="0" fontId="8" fillId="18" borderId="18" applyAlignment="1" applyProtection="1" pivotButton="0" quotePrefix="0" xfId="0">
      <alignment horizontal="centerContinuous" vertical="center"/>
      <protection locked="1" hidden="1"/>
    </xf>
    <xf numFmtId="0" fontId="2" fillId="18" borderId="18" applyAlignment="1" applyProtection="1" pivotButton="0" quotePrefix="0" xfId="0">
      <alignment horizontal="centerContinuous" vertical="center"/>
      <protection locked="1" hidden="1"/>
    </xf>
    <xf numFmtId="0" fontId="2" fillId="18" borderId="19" applyAlignment="1" applyProtection="1" pivotButton="0" quotePrefix="0" xfId="0">
      <alignment vertical="center"/>
      <protection locked="1" hidden="1"/>
    </xf>
    <xf numFmtId="0" fontId="1" fillId="18" borderId="19" applyAlignment="1" applyProtection="1" pivotButton="0" quotePrefix="0" xfId="0">
      <alignment horizontal="centerContinuous" vertical="center"/>
      <protection locked="1" hidden="1"/>
    </xf>
    <xf numFmtId="0" fontId="2" fillId="18" borderId="18" applyAlignment="1" applyProtection="1" pivotButton="0" quotePrefix="0" xfId="0">
      <alignment vertical="center"/>
      <protection locked="1" hidden="1"/>
    </xf>
    <xf numFmtId="0" fontId="2" fillId="18" borderId="15" applyAlignment="1" applyProtection="1" pivotButton="0" quotePrefix="0" xfId="37">
      <alignment vertical="center"/>
      <protection locked="1" hidden="1"/>
    </xf>
    <xf numFmtId="164" fontId="2" fillId="18" borderId="0" applyAlignment="1" applyProtection="1" pivotButton="0" quotePrefix="0" xfId="0">
      <alignment horizontal="center" vertical="center"/>
      <protection locked="1" hidden="1"/>
    </xf>
    <xf numFmtId="0" fontId="2" fillId="23" borderId="0" applyAlignment="1" applyProtection="1" pivotButton="0" quotePrefix="0" xfId="0">
      <alignment horizontal="left" vertical="center"/>
      <protection locked="1" hidden="1"/>
    </xf>
    <xf numFmtId="0" fontId="2" fillId="18" borderId="19" applyAlignment="1" applyProtection="1" pivotButton="0" quotePrefix="0" xfId="0">
      <alignment horizontal="centerContinuous" vertical="center"/>
      <protection locked="1" hidden="1"/>
    </xf>
    <xf numFmtId="0" fontId="2" fillId="23" borderId="0" applyAlignment="1" applyProtection="1" pivotButton="0" quotePrefix="0" xfId="0">
      <alignment horizontal="centerContinuous" vertical="center"/>
      <protection locked="1" hidden="1"/>
    </xf>
    <xf numFmtId="0" fontId="2" fillId="18" borderId="21" applyAlignment="1" applyProtection="1" pivotButton="0" quotePrefix="0" xfId="0">
      <alignment horizontal="left" vertical="center"/>
      <protection locked="1" hidden="1"/>
    </xf>
    <xf numFmtId="0" fontId="2" fillId="18" borderId="20" applyAlignment="1" applyProtection="1" pivotButton="0" quotePrefix="0" xfId="0">
      <alignment vertical="center"/>
      <protection locked="1" hidden="1"/>
    </xf>
    <xf numFmtId="0" fontId="2" fillId="0" borderId="22" applyAlignment="1" applyProtection="1" pivotButton="0" quotePrefix="0" xfId="0">
      <alignment horizontal="center" vertical="center"/>
      <protection locked="0" hidden="0"/>
    </xf>
    <xf numFmtId="0" fontId="2" fillId="18" borderId="17" applyAlignment="1" applyProtection="1" pivotButton="0" quotePrefix="0" xfId="0">
      <alignment horizontal="centerContinuous"/>
      <protection locked="1" hidden="1"/>
    </xf>
    <xf numFmtId="0" fontId="2" fillId="18" borderId="15" applyAlignment="1" applyProtection="1" pivotButton="0" quotePrefix="0" xfId="0">
      <alignment horizontal="centerContinuous"/>
      <protection locked="1" hidden="1"/>
    </xf>
    <xf numFmtId="0" fontId="2" fillId="18" borderId="18" applyAlignment="1" applyProtection="1" pivotButton="0" quotePrefix="0" xfId="0">
      <alignment horizontal="centerContinuous"/>
      <protection locked="1" hidden="1"/>
    </xf>
    <xf numFmtId="0" fontId="2" fillId="18" borderId="0" applyAlignment="1" applyProtection="1" pivotButton="0" quotePrefix="0" xfId="0">
      <alignment horizontal="centerContinuous"/>
      <protection locked="1" hidden="1"/>
    </xf>
    <xf numFmtId="0" fontId="1" fillId="18" borderId="0" applyAlignment="1" applyProtection="1" pivotButton="0" quotePrefix="0" xfId="0">
      <alignment horizontal="centerContinuous"/>
      <protection locked="1" hidden="1"/>
    </xf>
    <xf numFmtId="0" fontId="2" fillId="18" borderId="19" applyAlignment="1" applyProtection="1" pivotButton="0" quotePrefix="0" xfId="0">
      <alignment horizontal="centerContinuous"/>
      <protection locked="1" hidden="1"/>
    </xf>
    <xf numFmtId="0" fontId="2" fillId="18" borderId="19" applyAlignment="1" applyProtection="1" pivotButton="0" quotePrefix="0" xfId="0">
      <alignment horizontal="right" vertical="center"/>
      <protection locked="1" hidden="1"/>
    </xf>
    <xf numFmtId="166" fontId="2" fillId="18" borderId="19" applyAlignment="1" applyProtection="1" pivotButton="0" quotePrefix="0" xfId="0">
      <alignment horizontal="centerContinuous" vertical="center"/>
      <protection locked="1" hidden="1"/>
    </xf>
    <xf numFmtId="0" fontId="2" fillId="23" borderId="18" applyProtection="1" pivotButton="0" quotePrefix="0" xfId="0">
      <protection locked="1" hidden="1"/>
    </xf>
    <xf numFmtId="0" fontId="2" fillId="0" borderId="23" applyAlignment="1" applyProtection="1" pivotButton="0" quotePrefix="0" xfId="0">
      <alignment horizontal="center" vertical="center"/>
      <protection locked="0" hidden="0"/>
    </xf>
    <xf numFmtId="0" fontId="1" fillId="0" borderId="0" pivotButton="0" quotePrefix="0" xfId="0"/>
    <xf numFmtId="164" fontId="2" fillId="0" borderId="0" pivotButton="0" quotePrefix="0" xfId="0"/>
    <xf numFmtId="164" fontId="2" fillId="0" borderId="0" applyProtection="1" pivotButton="0" quotePrefix="0" xfId="0">
      <protection locked="0" hidden="0"/>
    </xf>
    <xf numFmtId="1" fontId="2" fillId="0" borderId="0" applyProtection="1" pivotButton="0" quotePrefix="0" xfId="0">
      <protection locked="0" hidden="0"/>
    </xf>
    <xf numFmtId="0" fontId="2" fillId="18" borderId="24" applyAlignment="1" pivotButton="0" quotePrefix="0" xfId="0">
      <alignment vertical="center"/>
    </xf>
    <xf numFmtId="0" fontId="2" fillId="18" borderId="21" applyAlignment="1" pivotButton="0" quotePrefix="0" xfId="0">
      <alignment vertical="center"/>
    </xf>
    <xf numFmtId="164" fontId="2" fillId="0" borderId="25" applyAlignment="1" applyProtection="1" pivotButton="0" quotePrefix="0" xfId="0">
      <alignment horizontal="center" vertical="center"/>
      <protection locked="0" hidden="0"/>
    </xf>
    <xf numFmtId="164" fontId="2" fillId="0" borderId="26" applyAlignment="1" applyProtection="1" pivotButton="0" quotePrefix="0" xfId="0">
      <alignment horizontal="center" vertical="center"/>
      <protection locked="0" hidden="0"/>
    </xf>
    <xf numFmtId="0" fontId="1" fillId="18" borderId="0" applyAlignment="1" pivotButton="0" quotePrefix="0" xfId="0">
      <alignment horizontal="centerContinuous" vertical="center"/>
    </xf>
    <xf numFmtId="164" fontId="2" fillId="0" borderId="27" applyAlignment="1" applyProtection="1" pivotButton="0" quotePrefix="0" xfId="0">
      <alignment horizontal="center" vertical="center"/>
      <protection locked="0" hidden="0"/>
    </xf>
    <xf numFmtId="164" fontId="2" fillId="0" borderId="28" applyAlignment="1" applyProtection="1" pivotButton="0" quotePrefix="0" xfId="0">
      <alignment horizontal="center" vertical="center"/>
      <protection locked="0" hidden="0"/>
    </xf>
    <xf numFmtId="164" fontId="2" fillId="0" borderId="29" applyAlignment="1" applyProtection="1" pivotButton="0" quotePrefix="0" xfId="0">
      <alignment horizontal="center" vertical="center"/>
      <protection locked="0" hidden="0"/>
    </xf>
    <xf numFmtId="164" fontId="2" fillId="0" borderId="30" applyAlignment="1" applyProtection="1" pivotButton="0" quotePrefix="0" xfId="0">
      <alignment horizontal="center" vertical="center"/>
      <protection locked="0" hidden="0"/>
    </xf>
    <xf numFmtId="0" fontId="2" fillId="18" borderId="16" applyAlignment="1" applyProtection="1" pivotButton="0" quotePrefix="0" xfId="37">
      <alignment vertical="center"/>
      <protection locked="1" hidden="1"/>
    </xf>
    <xf numFmtId="0" fontId="32" fillId="18" borderId="0" applyAlignment="1" applyProtection="1" pivotButton="0" quotePrefix="0" xfId="37">
      <alignment horizontal="centerContinuous" vertical="center"/>
      <protection locked="1" hidden="1"/>
    </xf>
    <xf numFmtId="0" fontId="10" fillId="18" borderId="19" applyAlignment="1" applyProtection="1" pivotButton="0" quotePrefix="0" xfId="37">
      <alignment horizontal="centerContinuous" vertical="center"/>
      <protection locked="1" hidden="1"/>
    </xf>
    <xf numFmtId="0" fontId="33" fillId="18" borderId="0" applyAlignment="1" applyProtection="1" pivotButton="0" quotePrefix="0" xfId="37">
      <alignment horizontal="centerContinuous" vertical="center"/>
      <protection locked="1" hidden="1"/>
    </xf>
    <xf numFmtId="0" fontId="2" fillId="22" borderId="31" applyAlignment="1" applyProtection="1" pivotButton="0" quotePrefix="0" xfId="37">
      <alignment horizontal="center" vertical="center"/>
      <protection locked="1" hidden="1"/>
    </xf>
    <xf numFmtId="0" fontId="2" fillId="20" borderId="10" applyAlignment="1" applyProtection="1" pivotButton="0" quotePrefix="0" xfId="37">
      <alignment horizontal="center" vertical="center"/>
      <protection locked="1" hidden="1"/>
    </xf>
    <xf numFmtId="0" fontId="2" fillId="21" borderId="10" applyAlignment="1" applyProtection="1" pivotButton="0" quotePrefix="0" xfId="37">
      <alignment horizontal="center" vertical="center"/>
      <protection locked="1" hidden="1"/>
    </xf>
    <xf numFmtId="2" fontId="2" fillId="22" borderId="25" applyAlignment="1" applyProtection="1" pivotButton="0" quotePrefix="0" xfId="37">
      <alignment horizontal="center" vertical="center"/>
      <protection locked="1" hidden="1"/>
    </xf>
    <xf numFmtId="2" fontId="2" fillId="22" borderId="28" applyAlignment="1" applyProtection="1" pivotButton="0" quotePrefix="0" xfId="37">
      <alignment horizontal="center" vertical="center"/>
      <protection locked="1" hidden="1"/>
    </xf>
    <xf numFmtId="2" fontId="2" fillId="22" borderId="32" applyAlignment="1" applyProtection="1" pivotButton="0" quotePrefix="0" xfId="37">
      <alignment horizontal="center" vertical="center"/>
      <protection locked="1" hidden="1"/>
    </xf>
    <xf numFmtId="2" fontId="2" fillId="24" borderId="33" applyAlignment="1" applyProtection="1" pivotButton="0" quotePrefix="0" xfId="37">
      <alignment horizontal="center" vertical="center"/>
      <protection locked="1" hidden="1"/>
    </xf>
    <xf numFmtId="2" fontId="2" fillId="22" borderId="33" applyAlignment="1" applyProtection="1" pivotButton="0" quotePrefix="0" xfId="37">
      <alignment horizontal="center" vertical="center"/>
      <protection locked="1" hidden="1"/>
    </xf>
    <xf numFmtId="2" fontId="2" fillId="22" borderId="34" applyAlignment="1" applyProtection="1" pivotButton="0" quotePrefix="0" xfId="37">
      <alignment horizontal="center" vertical="center"/>
      <protection locked="1" hidden="1"/>
    </xf>
    <xf numFmtId="0" fontId="2" fillId="20" borderId="0" applyAlignment="1" applyProtection="1" pivotButton="0" quotePrefix="0" xfId="37">
      <alignment horizontal="right" vertical="center"/>
      <protection locked="1" hidden="1"/>
    </xf>
    <xf numFmtId="2" fontId="2" fillId="24" borderId="0" applyAlignment="1" applyProtection="1" pivotButton="0" quotePrefix="0" xfId="37">
      <alignment horizontal="center" vertical="center"/>
      <protection locked="1" hidden="1"/>
    </xf>
    <xf numFmtId="0" fontId="2" fillId="18" borderId="24" applyAlignment="1" pivotButton="0" quotePrefix="0" xfId="37">
      <alignment vertical="center"/>
    </xf>
    <xf numFmtId="0" fontId="2" fillId="18" borderId="21" applyAlignment="1" pivotButton="0" quotePrefix="0" xfId="37">
      <alignment vertical="center"/>
    </xf>
    <xf numFmtId="0" fontId="2" fillId="18" borderId="21" applyAlignment="1" applyProtection="1" pivotButton="0" quotePrefix="0" xfId="37">
      <alignment horizontal="left" vertical="center"/>
      <protection locked="1" hidden="1"/>
    </xf>
    <xf numFmtId="0" fontId="2" fillId="18" borderId="15" applyProtection="1" pivotButton="0" quotePrefix="0" xfId="0">
      <protection locked="1" hidden="1"/>
    </xf>
    <xf numFmtId="0" fontId="2" fillId="18" borderId="16" applyProtection="1" pivotButton="0" quotePrefix="0" xfId="0">
      <protection locked="1" hidden="1"/>
    </xf>
    <xf numFmtId="0" fontId="2" fillId="18" borderId="19" applyProtection="1" pivotButton="0" quotePrefix="0" xfId="0">
      <protection locked="1" hidden="1"/>
    </xf>
    <xf numFmtId="0" fontId="2" fillId="18" borderId="0" applyAlignment="1" applyProtection="1" pivotButton="0" quotePrefix="0" xfId="0">
      <alignment horizontal="right"/>
      <protection locked="1" hidden="1"/>
    </xf>
    <xf numFmtId="0" fontId="8" fillId="18" borderId="18" applyAlignment="1" applyProtection="1" pivotButton="0" quotePrefix="0" xfId="0">
      <alignment horizontal="centerContinuous"/>
      <protection locked="1" hidden="1"/>
    </xf>
    <xf numFmtId="0" fontId="1" fillId="18" borderId="19" applyAlignment="1" applyProtection="1" pivotButton="0" quotePrefix="0" xfId="0">
      <alignment horizontal="centerContinuous"/>
      <protection locked="1" hidden="1"/>
    </xf>
    <xf numFmtId="0" fontId="2" fillId="25" borderId="32" applyAlignment="1" applyProtection="1" pivotButton="0" quotePrefix="0" xfId="0">
      <alignment horizontal="center" vertical="center"/>
      <protection locked="1" hidden="1"/>
    </xf>
    <xf numFmtId="0" fontId="2" fillId="19" borderId="35" applyAlignment="1" applyProtection="1" pivotButton="0" quotePrefix="0" xfId="0">
      <alignment horizontal="center" vertical="center"/>
      <protection locked="1" hidden="1"/>
    </xf>
    <xf numFmtId="0" fontId="2" fillId="25" borderId="36" applyAlignment="1" applyProtection="1" pivotButton="0" quotePrefix="0" xfId="0">
      <alignment horizontal="center" vertical="center"/>
      <protection locked="1" hidden="1"/>
    </xf>
    <xf numFmtId="164" fontId="2" fillId="25" borderId="12" applyAlignment="1" applyProtection="1" pivotButton="0" quotePrefix="0" xfId="0">
      <alignment horizontal="center" vertical="center"/>
      <protection locked="1" hidden="1"/>
    </xf>
    <xf numFmtId="164" fontId="2" fillId="25" borderId="13" applyAlignment="1" applyProtection="1" pivotButton="0" quotePrefix="0" xfId="0">
      <alignment horizontal="center" vertical="center"/>
      <protection locked="1" hidden="1"/>
    </xf>
    <xf numFmtId="164" fontId="2" fillId="25" borderId="37" applyAlignment="1" applyProtection="1" pivotButton="0" quotePrefix="0" xfId="0">
      <alignment horizontal="center" vertical="center"/>
      <protection locked="1" hidden="1"/>
    </xf>
    <xf numFmtId="164" fontId="2" fillId="25" borderId="14" applyAlignment="1" applyProtection="1" pivotButton="0" quotePrefix="0" xfId="0">
      <alignment horizontal="center" vertical="center"/>
      <protection locked="1" hidden="1"/>
    </xf>
    <xf numFmtId="0" fontId="2" fillId="22" borderId="29" applyAlignment="1" applyProtection="1" pivotButton="0" quotePrefix="0" xfId="0">
      <alignment horizontal="center" vertical="center"/>
      <protection locked="0" hidden="0"/>
    </xf>
    <xf numFmtId="2" fontId="2" fillId="0" borderId="12" applyAlignment="1" applyProtection="1" pivotButton="0" quotePrefix="0" xfId="0">
      <alignment horizontal="center" vertical="center"/>
      <protection locked="0" hidden="0"/>
    </xf>
    <xf numFmtId="2" fontId="2" fillId="0" borderId="13" applyAlignment="1" applyProtection="1" pivotButton="0" quotePrefix="0" xfId="0">
      <alignment horizontal="center" vertical="center"/>
      <protection locked="0" hidden="0"/>
    </xf>
    <xf numFmtId="2" fontId="2" fillId="0" borderId="14" applyAlignment="1" applyProtection="1" pivotButton="0" quotePrefix="0" xfId="0">
      <alignment horizontal="center" vertical="center"/>
      <protection locked="0" hidden="0"/>
    </xf>
    <xf numFmtId="164" fontId="0" fillId="18" borderId="0" applyAlignment="1" applyProtection="1" pivotButton="0" quotePrefix="0" xfId="0">
      <alignment horizontal="right" vertical="center"/>
      <protection locked="1" hidden="1"/>
    </xf>
    <xf numFmtId="0" fontId="0" fillId="26" borderId="0" applyAlignment="1" applyProtection="1" pivotButton="0" quotePrefix="0" xfId="0">
      <alignment horizontal="left" vertical="center"/>
      <protection locked="1" hidden="1"/>
    </xf>
    <xf numFmtId="0" fontId="2" fillId="26" borderId="0" applyAlignment="1" applyProtection="1" pivotButton="0" quotePrefix="0" xfId="0">
      <alignment horizontal="left" vertical="center"/>
      <protection locked="1" hidden="1"/>
    </xf>
    <xf numFmtId="0" fontId="2" fillId="18" borderId="21" pivotButton="0" quotePrefix="0" xfId="0"/>
    <xf numFmtId="0" fontId="2" fillId="18" borderId="24" pivotButton="0" quotePrefix="0" xfId="0"/>
    <xf numFmtId="0" fontId="2" fillId="18" borderId="19" applyAlignment="1" applyProtection="1" pivotButton="0" quotePrefix="0" xfId="0">
      <alignment horizontal="left" vertical="center"/>
      <protection locked="1" hidden="1"/>
    </xf>
    <xf numFmtId="0" fontId="2" fillId="22" borderId="38" applyAlignment="1" applyProtection="1" pivotButton="0" quotePrefix="0" xfId="0">
      <alignment horizontal="left" vertical="center"/>
      <protection locked="0" hidden="0"/>
    </xf>
    <xf numFmtId="164" fontId="2" fillId="25" borderId="39" applyAlignment="1" applyProtection="1" pivotButton="0" quotePrefix="0" xfId="0">
      <alignment horizontal="center" vertical="center"/>
      <protection locked="1" hidden="1"/>
    </xf>
    <xf numFmtId="0" fontId="3" fillId="18" borderId="19" applyProtection="1" pivotButton="0" quotePrefix="0" xfId="0">
      <protection locked="1" hidden="1"/>
    </xf>
    <xf numFmtId="0" fontId="3" fillId="18" borderId="0" applyProtection="1" pivotButton="0" quotePrefix="0" xfId="0">
      <protection locked="1" hidden="1"/>
    </xf>
    <xf numFmtId="0" fontId="3" fillId="18" borderId="0" applyAlignment="1" applyProtection="1" pivotButton="0" quotePrefix="0" xfId="0">
      <alignment horizontal="centerContinuous"/>
      <protection locked="1" hidden="1"/>
    </xf>
    <xf numFmtId="0" fontId="36" fillId="18" borderId="0" applyAlignment="1" applyProtection="1" pivotButton="0" quotePrefix="0" xfId="0">
      <alignment horizontal="centerContinuous"/>
      <protection locked="1" hidden="1"/>
    </xf>
    <xf numFmtId="0" fontId="7" fillId="18" borderId="0" applyAlignment="1" applyProtection="1" pivotButton="0" quotePrefix="0" xfId="0">
      <alignment horizontal="centerContinuous"/>
      <protection locked="1" hidden="1"/>
    </xf>
    <xf numFmtId="0" fontId="3" fillId="18" borderId="18" applyAlignment="1" applyProtection="1" pivotButton="0" quotePrefix="0" xfId="0">
      <alignment horizontal="centerContinuous"/>
      <protection locked="1" hidden="1"/>
    </xf>
    <xf numFmtId="0" fontId="0" fillId="21" borderId="35" applyAlignment="1" applyProtection="1" pivotButton="0" quotePrefix="0" xfId="0">
      <alignment horizontal="center" vertical="center"/>
      <protection locked="1" hidden="1"/>
    </xf>
    <xf numFmtId="0" fontId="43" fillId="19" borderId="40" applyAlignment="1" applyProtection="1" pivotButton="0" quotePrefix="0" xfId="0">
      <alignment horizontal="center" vertical="center"/>
      <protection locked="1" hidden="1"/>
    </xf>
    <xf numFmtId="0" fontId="2" fillId="21" borderId="40" applyAlignment="1" applyProtection="1" pivotButton="0" quotePrefix="0" xfId="0">
      <alignment horizontal="center" vertical="center"/>
      <protection locked="1" hidden="1"/>
    </xf>
    <xf numFmtId="165" fontId="0" fillId="22" borderId="27" applyAlignment="1" applyProtection="1" pivotButton="0" quotePrefix="0" xfId="0">
      <alignment horizontal="center" vertical="center"/>
      <protection locked="1" hidden="1"/>
    </xf>
    <xf numFmtId="165" fontId="0" fillId="22" borderId="25" applyAlignment="1" applyProtection="1" pivotButton="0" quotePrefix="0" xfId="0">
      <alignment horizontal="center" vertical="center"/>
      <protection locked="1" hidden="1"/>
    </xf>
    <xf numFmtId="165" fontId="2" fillId="22" borderId="28" applyAlignment="1" applyProtection="1" pivotButton="0" quotePrefix="0" xfId="0">
      <alignment horizontal="center" vertical="center"/>
      <protection locked="0" hidden="0"/>
    </xf>
    <xf numFmtId="165" fontId="2" fillId="22" borderId="32" applyAlignment="1" applyProtection="1" pivotButton="0" quotePrefix="0" xfId="0">
      <alignment horizontal="center" vertical="center"/>
      <protection locked="1" hidden="1"/>
    </xf>
    <xf numFmtId="165" fontId="2" fillId="24" borderId="33" applyAlignment="1" applyProtection="1" pivotButton="0" quotePrefix="0" xfId="0">
      <alignment horizontal="center" vertical="center"/>
      <protection locked="1" hidden="1"/>
    </xf>
    <xf numFmtId="165" fontId="2" fillId="22" borderId="33" applyAlignment="1" applyProtection="1" pivotButton="0" quotePrefix="0" xfId="0">
      <alignment horizontal="center" vertical="center"/>
      <protection locked="1" hidden="1"/>
    </xf>
    <xf numFmtId="165" fontId="2" fillId="22" borderId="34" applyAlignment="1" applyProtection="1" pivotButton="0" quotePrefix="0" xfId="0">
      <alignment horizontal="center" vertical="center"/>
      <protection locked="1" hidden="1"/>
    </xf>
    <xf numFmtId="165" fontId="0" fillId="0" borderId="13" applyAlignment="1" applyProtection="1" pivotButton="0" quotePrefix="0" xfId="0">
      <alignment horizontal="center" vertical="center"/>
      <protection locked="0" hidden="0"/>
    </xf>
    <xf numFmtId="0" fontId="37" fillId="19" borderId="40" applyAlignment="1" applyProtection="1" pivotButton="0" quotePrefix="0" xfId="0">
      <alignment horizontal="center" vertical="center"/>
      <protection locked="1" hidden="1"/>
    </xf>
    <xf numFmtId="0" fontId="37" fillId="19" borderId="41" applyAlignment="1" applyProtection="1" pivotButton="0" quotePrefix="0" xfId="0">
      <alignment horizontal="center" vertical="center"/>
      <protection locked="0" hidden="0"/>
    </xf>
    <xf numFmtId="0" fontId="2" fillId="18" borderId="42" applyAlignment="1" applyProtection="1" pivotButton="0" quotePrefix="0" xfId="0">
      <alignment horizontal="centerContinuous" vertical="center"/>
      <protection locked="1" hidden="1"/>
    </xf>
    <xf numFmtId="0" fontId="2" fillId="18" borderId="42" applyAlignment="1" applyProtection="1" pivotButton="0" quotePrefix="0" xfId="0">
      <alignment vertical="center"/>
      <protection locked="1" hidden="1"/>
    </xf>
    <xf numFmtId="0" fontId="32" fillId="18" borderId="0" applyAlignment="1" applyProtection="1" pivotButton="0" quotePrefix="0" xfId="0">
      <alignment horizontal="centerContinuous" vertical="center"/>
      <protection locked="1" hidden="1"/>
    </xf>
    <xf numFmtId="0" fontId="33" fillId="18" borderId="0" applyAlignment="1" applyProtection="1" pivotButton="0" quotePrefix="0" xfId="0">
      <alignment horizontal="centerContinuous" vertical="center"/>
      <protection locked="1" hidden="1"/>
    </xf>
    <xf numFmtId="0" fontId="2" fillId="18" borderId="0" applyAlignment="1" applyProtection="1" pivotButton="0" quotePrefix="0" xfId="0">
      <alignment horizontal="left" vertical="center"/>
      <protection locked="1" hidden="1"/>
    </xf>
    <xf numFmtId="0" fontId="2" fillId="20" borderId="0" applyAlignment="1" applyProtection="1" pivotButton="0" quotePrefix="0" xfId="0">
      <alignment horizontal="right" vertical="center"/>
      <protection locked="1" hidden="1"/>
    </xf>
    <xf numFmtId="2" fontId="2" fillId="24" borderId="0" applyAlignment="1" applyProtection="1" pivotButton="0" quotePrefix="0" xfId="0">
      <alignment horizontal="center" vertical="center"/>
      <protection locked="1" hidden="1"/>
    </xf>
    <xf numFmtId="0" fontId="2" fillId="18" borderId="43" applyAlignment="1" applyProtection="1" pivotButton="0" quotePrefix="0" xfId="0">
      <alignment horizontal="centerContinuous" vertical="center"/>
      <protection locked="1" hidden="1"/>
    </xf>
    <xf numFmtId="0" fontId="2" fillId="18" borderId="44" applyAlignment="1" applyProtection="1" pivotButton="0" quotePrefix="0" xfId="0">
      <alignment vertical="center"/>
      <protection locked="1" hidden="1"/>
    </xf>
    <xf numFmtId="0" fontId="2" fillId="18" borderId="45" applyAlignment="1" applyProtection="1" pivotButton="0" quotePrefix="0" xfId="0">
      <alignment horizontal="centerContinuous" vertical="center"/>
      <protection locked="1" hidden="1"/>
    </xf>
    <xf numFmtId="0" fontId="2" fillId="18" borderId="46" applyAlignment="1" applyProtection="1" pivotButton="0" quotePrefix="0" xfId="0">
      <alignment horizontal="centerContinuous" vertical="center"/>
      <protection locked="1" hidden="1"/>
    </xf>
    <xf numFmtId="0" fontId="10" fillId="18" borderId="46" applyAlignment="1" applyProtection="1" pivotButton="0" quotePrefix="0" xfId="0">
      <alignment horizontal="centerContinuous" vertical="center"/>
      <protection locked="1" hidden="1"/>
    </xf>
    <xf numFmtId="0" fontId="2" fillId="18" borderId="46" applyAlignment="1" applyProtection="1" pivotButton="0" quotePrefix="0" xfId="0">
      <alignment vertical="center"/>
      <protection locked="1" hidden="1"/>
    </xf>
    <xf numFmtId="0" fontId="8" fillId="18" borderId="45" applyAlignment="1" applyProtection="1" pivotButton="0" quotePrefix="0" xfId="0">
      <alignment horizontal="centerContinuous" vertical="center"/>
      <protection locked="1" hidden="1"/>
    </xf>
    <xf numFmtId="0" fontId="1" fillId="18" borderId="46" applyAlignment="1" applyProtection="1" pivotButton="0" quotePrefix="0" xfId="0">
      <alignment horizontal="centerContinuous" vertical="center"/>
      <protection locked="1" hidden="1"/>
    </xf>
    <xf numFmtId="0" fontId="2" fillId="18" borderId="45" applyAlignment="1" applyProtection="1" pivotButton="0" quotePrefix="0" xfId="0">
      <alignment vertical="center"/>
      <protection locked="1" hidden="1"/>
    </xf>
    <xf numFmtId="0" fontId="2" fillId="18" borderId="47" applyAlignment="1" pivotButton="0" quotePrefix="0" xfId="0">
      <alignment vertical="center"/>
    </xf>
    <xf numFmtId="0" fontId="2" fillId="18" borderId="48" applyAlignment="1" applyProtection="1" pivotButton="0" quotePrefix="0" xfId="0">
      <alignment vertical="center"/>
      <protection locked="1" hidden="1"/>
    </xf>
    <xf numFmtId="2" fontId="31" fillId="22" borderId="25" applyAlignment="1" applyProtection="1" pivotButton="0" quotePrefix="0" xfId="37">
      <alignment horizontal="center" vertical="center"/>
      <protection locked="1" hidden="1"/>
    </xf>
    <xf numFmtId="0" fontId="2" fillId="22" borderId="49" applyAlignment="1" applyProtection="1" pivotButton="0" quotePrefix="0" xfId="0">
      <alignment horizontal="center" vertical="center"/>
      <protection locked="1" hidden="1"/>
    </xf>
    <xf numFmtId="0" fontId="2" fillId="22" borderId="49" applyAlignment="1" applyProtection="1" pivotButton="0" quotePrefix="0" xfId="0">
      <alignment horizontal="center" vertical="center"/>
      <protection locked="0" hidden="0"/>
    </xf>
    <xf numFmtId="164" fontId="39" fillId="22" borderId="10" applyAlignment="1" applyProtection="1" pivotButton="0" quotePrefix="0" xfId="0">
      <alignment horizontal="center" vertical="center"/>
      <protection locked="1" hidden="1"/>
    </xf>
    <xf numFmtId="164" fontId="2" fillId="22" borderId="50" applyAlignment="1" applyProtection="1" pivotButton="0" quotePrefix="0" xfId="0">
      <alignment horizontal="center" vertical="center"/>
      <protection locked="1" hidden="1"/>
    </xf>
    <xf numFmtId="164" fontId="39" fillId="22" borderId="35" applyAlignment="1" applyProtection="1" pivotButton="0" quotePrefix="0" xfId="0">
      <alignment horizontal="center" vertical="center"/>
      <protection locked="1" hidden="1"/>
    </xf>
    <xf numFmtId="0" fontId="2" fillId="22" borderId="31" applyAlignment="1" applyProtection="1" pivotButton="0" quotePrefix="0" xfId="0">
      <alignment horizontal="center" vertical="center"/>
      <protection locked="1" hidden="1"/>
    </xf>
    <xf numFmtId="164" fontId="2" fillId="22" borderId="10" applyAlignment="1" applyProtection="1" pivotButton="0" quotePrefix="0" xfId="0">
      <alignment horizontal="center" vertical="center"/>
      <protection locked="1" hidden="1"/>
    </xf>
    <xf numFmtId="2" fontId="2" fillId="0" borderId="23" applyAlignment="1" applyProtection="1" pivotButton="0" quotePrefix="0" xfId="0">
      <alignment horizontal="center" vertical="center"/>
      <protection locked="1" hidden="1"/>
    </xf>
    <xf numFmtId="2" fontId="2" fillId="0" borderId="41" applyAlignment="1" applyProtection="1" pivotButton="0" quotePrefix="0" xfId="0">
      <alignment horizontal="center" vertical="center"/>
      <protection locked="1" hidden="1"/>
    </xf>
    <xf numFmtId="2" fontId="2" fillId="0" borderId="51" applyAlignment="1" applyProtection="1" pivotButton="0" quotePrefix="0" xfId="0">
      <alignment horizontal="center" vertical="center"/>
      <protection locked="1" hidden="1"/>
    </xf>
    <xf numFmtId="2" fontId="2" fillId="0" borderId="40" applyAlignment="1" applyProtection="1" pivotButton="0" quotePrefix="0" xfId="0">
      <alignment horizontal="center" vertical="center"/>
      <protection locked="1" hidden="1"/>
    </xf>
    <xf numFmtId="2" fontId="2" fillId="0" borderId="11" applyAlignment="1" applyProtection="1" pivotButton="0" quotePrefix="0" xfId="0">
      <alignment horizontal="center" vertical="center"/>
      <protection locked="1" hidden="1"/>
    </xf>
    <xf numFmtId="0" fontId="2" fillId="18" borderId="21" applyAlignment="1" applyProtection="1" pivotButton="0" quotePrefix="0" xfId="0">
      <alignment vertical="center"/>
      <protection locked="1" hidden="1"/>
    </xf>
    <xf numFmtId="0" fontId="2" fillId="19" borderId="40" applyAlignment="1" applyProtection="1" pivotButton="0" quotePrefix="0" xfId="0">
      <alignment horizontal="center" vertical="center"/>
      <protection locked="1" hidden="1"/>
    </xf>
    <xf numFmtId="0" fontId="44" fillId="0" borderId="0" applyAlignment="1" applyProtection="1" pivotButton="0" quotePrefix="0" xfId="0">
      <alignment vertical="center"/>
      <protection locked="1" hidden="1"/>
    </xf>
    <xf numFmtId="0" fontId="11" fillId="0" borderId="0" applyAlignment="1" applyProtection="1" pivotButton="0" quotePrefix="0" xfId="0">
      <alignment vertical="center"/>
      <protection locked="1" hidden="1"/>
    </xf>
    <xf numFmtId="167" fontId="11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horizontal="right" vertical="center"/>
      <protection locked="1" hidden="1"/>
    </xf>
    <xf numFmtId="167" fontId="11" fillId="0" borderId="0" applyAlignment="1" applyProtection="1" pivotButton="0" quotePrefix="0" xfId="0">
      <alignment horizontal="center" vertical="center"/>
      <protection locked="0" hidden="0"/>
    </xf>
    <xf numFmtId="0" fontId="2" fillId="23" borderId="0" applyAlignment="1" applyProtection="1" pivotButton="0" quotePrefix="0" xfId="37">
      <alignment horizontal="center" vertical="center"/>
      <protection locked="0" hidden="0"/>
    </xf>
    <xf numFmtId="0" fontId="45" fillId="0" borderId="0" applyAlignment="1" applyProtection="1" pivotButton="0" quotePrefix="0" xfId="0">
      <alignment vertical="center"/>
      <protection locked="1" hidden="1"/>
    </xf>
    <xf numFmtId="0" fontId="45" fillId="0" borderId="0" applyAlignment="1" pivotButton="0" quotePrefix="0" xfId="0">
      <alignment vertical="center"/>
    </xf>
    <xf numFmtId="167" fontId="45" fillId="0" borderId="0" applyAlignment="1" applyProtection="1" pivotButton="0" quotePrefix="0" xfId="0">
      <alignment horizontal="left" vertical="center"/>
      <protection locked="0" hidden="0"/>
    </xf>
    <xf numFmtId="167" fontId="45" fillId="0" borderId="0" applyAlignment="1" applyProtection="1" pivotButton="0" quotePrefix="0" xfId="0">
      <alignment horizontal="left" vertical="center"/>
      <protection locked="1" hidden="1"/>
    </xf>
    <xf numFmtId="0" fontId="45" fillId="0" borderId="0" applyAlignment="1" applyProtection="1" pivotButton="0" quotePrefix="0" xfId="0">
      <alignment horizontal="left" vertical="center"/>
      <protection locked="1" hidden="1"/>
    </xf>
    <xf numFmtId="0" fontId="45" fillId="0" borderId="0" applyAlignment="1" pivotButton="0" quotePrefix="0" xfId="0">
      <alignment horizontal="left" vertical="center"/>
    </xf>
    <xf numFmtId="1" fontId="45" fillId="0" borderId="0" applyAlignment="1" applyProtection="1" pivotButton="0" quotePrefix="0" xfId="0">
      <alignment horizontal="left" vertical="center"/>
      <protection locked="0" hidden="0"/>
    </xf>
    <xf numFmtId="1" fontId="2" fillId="0" borderId="10" applyAlignment="1" applyProtection="1" pivotButton="0" quotePrefix="0" xfId="37">
      <alignment horizontal="center" vertical="center"/>
      <protection locked="0" hidden="0"/>
    </xf>
    <xf numFmtId="0" fontId="2" fillId="23" borderId="0" applyAlignment="1" applyProtection="1" pivotButton="0" quotePrefix="0" xfId="0">
      <alignment horizontal="center" vertical="center"/>
      <protection locked="0" hidden="0"/>
    </xf>
    <xf numFmtId="0" fontId="2" fillId="23" borderId="0" pivotButton="0" quotePrefix="0" xfId="0"/>
    <xf numFmtId="1" fontId="2" fillId="0" borderId="10" applyAlignment="1" applyProtection="1" pivotButton="0" quotePrefix="0" xfId="0">
      <alignment horizontal="center" vertical="center"/>
      <protection locked="0" hidden="0"/>
    </xf>
    <xf numFmtId="167" fontId="2" fillId="0" borderId="10" applyAlignment="1" applyProtection="1" pivotButton="0" quotePrefix="0" xfId="0">
      <alignment vertical="center"/>
      <protection locked="0" hidden="0"/>
    </xf>
    <xf numFmtId="0" fontId="0" fillId="23" borderId="0" pivotButton="0" quotePrefix="0" xfId="0"/>
    <xf numFmtId="0" fontId="2" fillId="23" borderId="0" applyAlignment="1" pivotButton="0" quotePrefix="0" xfId="0">
      <alignment vertical="center"/>
    </xf>
    <xf numFmtId="167" fontId="2" fillId="23" borderId="0" applyAlignment="1" applyProtection="1" pivotButton="0" quotePrefix="0" xfId="0">
      <alignment vertical="center"/>
      <protection locked="0" hidden="0"/>
    </xf>
    <xf numFmtId="0" fontId="12" fillId="23" borderId="0" applyAlignment="1" applyProtection="1" pivotButton="0" quotePrefix="0" xfId="0">
      <alignment vertical="center"/>
      <protection locked="0" hidden="0"/>
    </xf>
    <xf numFmtId="0" fontId="8" fillId="18" borderId="0" applyAlignment="1" applyProtection="1" pivotButton="0" quotePrefix="0" xfId="0">
      <alignment horizontal="centerContinuous" vertical="center"/>
      <protection locked="1" hidden="1"/>
    </xf>
    <xf numFmtId="0" fontId="0" fillId="23" borderId="17" pivotButton="0" quotePrefix="0" xfId="0"/>
    <xf numFmtId="0" fontId="0" fillId="23" borderId="18" pivotButton="0" quotePrefix="0" xfId="0"/>
    <xf numFmtId="0" fontId="0" fillId="23" borderId="24" pivotButton="0" quotePrefix="0" xfId="0"/>
    <xf numFmtId="0" fontId="2" fillId="22" borderId="10" applyAlignment="1" applyProtection="1" pivotButton="0" quotePrefix="0" xfId="0">
      <alignment horizontal="center" vertical="center"/>
      <protection locked="1" hidden="1"/>
    </xf>
    <xf numFmtId="0" fontId="2" fillId="0" borderId="52" applyAlignment="1" applyProtection="1" pivotButton="0" quotePrefix="0" xfId="0">
      <alignment horizontal="center" vertical="center"/>
      <protection locked="0" hidden="0"/>
    </xf>
    <xf numFmtId="0" fontId="2" fillId="0" borderId="53" applyAlignment="1" applyProtection="1" pivotButton="0" quotePrefix="0" xfId="0">
      <alignment horizontal="center" vertical="center"/>
      <protection locked="0" hidden="0"/>
    </xf>
    <xf numFmtId="0" fontId="2" fillId="0" borderId="54" applyAlignment="1" applyProtection="1" pivotButton="0" quotePrefix="0" xfId="0">
      <alignment horizontal="center" vertical="center"/>
      <protection locked="0" hidden="0"/>
    </xf>
    <xf numFmtId="0" fontId="2" fillId="22" borderId="23" applyAlignment="1" applyProtection="1" pivotButton="0" quotePrefix="0" xfId="0">
      <alignment horizontal="center" vertical="center"/>
      <protection locked="1" hidden="1"/>
    </xf>
    <xf numFmtId="0" fontId="2" fillId="22" borderId="51" applyAlignment="1" applyProtection="1" pivotButton="0" quotePrefix="0" xfId="0">
      <alignment horizontal="center" vertical="center"/>
      <protection locked="1" hidden="1"/>
    </xf>
    <xf numFmtId="0" fontId="2" fillId="22" borderId="11" applyAlignment="1" applyProtection="1" pivotButton="0" quotePrefix="0" xfId="0">
      <alignment horizontal="center" vertical="center"/>
      <protection locked="1" hidden="1"/>
    </xf>
    <xf numFmtId="0" fontId="46" fillId="0" borderId="0" pivotButton="0" quotePrefix="0" xfId="0"/>
    <xf numFmtId="0" fontId="2" fillId="0" borderId="0" applyAlignment="1" applyProtection="1" pivotButton="0" quotePrefix="0" xfId="0">
      <alignment horizontal="centerContinuous" vertical="center"/>
      <protection locked="1" hidden="1"/>
    </xf>
    <xf numFmtId="0" fontId="2" fillId="0" borderId="0" applyAlignment="1" applyProtection="1" pivotButton="0" quotePrefix="0" xfId="0">
      <alignment vertical="center"/>
      <protection locked="1" hidden="1"/>
    </xf>
    <xf numFmtId="0" fontId="2" fillId="0" borderId="0" applyAlignment="1" applyProtection="1" pivotButton="0" quotePrefix="0" xfId="0">
      <alignment horizontal="right" vertical="center"/>
      <protection locked="1" hidden="1"/>
    </xf>
    <xf numFmtId="0" fontId="2" fillId="0" borderId="0" applyAlignment="1" applyProtection="1" pivotButton="0" quotePrefix="0" xfId="0">
      <alignment horizontal="center" vertical="center"/>
      <protection locked="1" hidden="1"/>
    </xf>
    <xf numFmtId="0" fontId="11" fillId="0" borderId="0" applyAlignment="1" applyProtection="1" pivotButton="0" quotePrefix="0" xfId="0">
      <alignment horizontal="center" vertical="center"/>
      <protection locked="1" hidden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10" applyAlignment="1" applyProtection="1" pivotButton="0" quotePrefix="0" xfId="0">
      <alignment horizontal="center" vertical="center"/>
      <protection locked="1" hidden="1"/>
    </xf>
    <xf numFmtId="0" fontId="2" fillId="0" borderId="23" applyAlignment="1" applyProtection="1" pivotButton="0" quotePrefix="0" xfId="0">
      <alignment horizontal="center" vertical="center"/>
      <protection locked="1" hidden="1"/>
    </xf>
    <xf numFmtId="0" fontId="2" fillId="0" borderId="0" applyAlignment="1" applyProtection="1" pivotButton="0" quotePrefix="0" xfId="0">
      <alignment horizontal="center" vertical="center"/>
      <protection locked="0" hidden="0"/>
    </xf>
    <xf numFmtId="0" fontId="2" fillId="0" borderId="51" applyAlignment="1" applyProtection="1" pivotButton="0" quotePrefix="0" xfId="0">
      <alignment horizontal="center" vertical="center"/>
      <protection locked="1" hidden="1"/>
    </xf>
    <xf numFmtId="0" fontId="2" fillId="0" borderId="51" applyAlignment="1" applyProtection="1" pivotButton="0" quotePrefix="0" xfId="0">
      <alignment horizontal="center" vertical="center"/>
      <protection locked="0" hidden="0"/>
    </xf>
    <xf numFmtId="0" fontId="2" fillId="0" borderId="11" applyAlignment="1" applyProtection="1" pivotButton="0" quotePrefix="0" xfId="0">
      <alignment horizontal="center" vertical="center"/>
      <protection locked="1" hidden="1"/>
    </xf>
    <xf numFmtId="0" fontId="2" fillId="0" borderId="0" applyAlignment="1" applyProtection="1" pivotButton="0" quotePrefix="0" xfId="0">
      <alignment horizontal="left" vertical="center"/>
      <protection locked="1" hidden="1"/>
    </xf>
    <xf numFmtId="168" fontId="2" fillId="0" borderId="0" applyAlignment="1" applyProtection="1" pivotButton="0" quotePrefix="0" xfId="0">
      <alignment horizontal="center" vertical="center"/>
      <protection locked="1" hidden="1"/>
    </xf>
    <xf numFmtId="0" fontId="2" fillId="0" borderId="35" applyAlignment="1" applyProtection="1" pivotButton="0" quotePrefix="0" xfId="0">
      <alignment horizontal="center" vertical="center"/>
      <protection locked="1" hidden="1"/>
    </xf>
    <xf numFmtId="0" fontId="47" fillId="0" borderId="0" applyAlignment="1" pivotButton="0" quotePrefix="0" xfId="0">
      <alignment vertical="center"/>
    </xf>
    <xf numFmtId="0" fontId="2" fillId="0" borderId="0" applyAlignment="1" applyProtection="1" pivotButton="0" quotePrefix="0" xfId="0">
      <alignment vertical="center"/>
      <protection locked="0" hidden="0"/>
    </xf>
    <xf numFmtId="169" fontId="2" fillId="0" borderId="0" applyAlignment="1" applyProtection="1" pivotButton="0" quotePrefix="0" xfId="0">
      <alignment horizontal="center" vertical="center"/>
      <protection locked="0" hidden="0"/>
    </xf>
    <xf numFmtId="0" fontId="40" fillId="18" borderId="0" applyAlignment="1" applyProtection="1" pivotButton="0" quotePrefix="0" xfId="37">
      <alignment vertical="center"/>
      <protection locked="1" hidden="1"/>
    </xf>
    <xf numFmtId="0" fontId="39" fillId="0" borderId="0" applyAlignment="1" applyProtection="1" pivotButton="0" quotePrefix="0" xfId="37">
      <alignment vertical="center"/>
      <protection locked="0" hidden="0"/>
    </xf>
    <xf numFmtId="170" fontId="39" fillId="0" borderId="0" applyAlignment="1" applyProtection="1" pivotButton="0" quotePrefix="0" xfId="37">
      <alignment vertical="center"/>
      <protection locked="0" hidden="0"/>
    </xf>
    <xf numFmtId="0" fontId="45" fillId="0" borderId="0" applyAlignment="1" applyProtection="1" pivotButton="0" quotePrefix="0" xfId="0">
      <alignment vertical="center"/>
      <protection locked="0" hidden="0"/>
    </xf>
    <xf numFmtId="0" fontId="45" fillId="0" borderId="0" applyAlignment="1" applyProtection="1" pivotButton="0" quotePrefix="0" xfId="0">
      <alignment horizontal="left" vertical="center"/>
      <protection locked="0" hidden="0"/>
    </xf>
    <xf numFmtId="0" fontId="48" fillId="0" borderId="0" applyAlignment="1" pivotButton="0" quotePrefix="0" xfId="0">
      <alignment horizontal="left"/>
    </xf>
    <xf numFmtId="0" fontId="40" fillId="18" borderId="26" applyAlignment="1" applyProtection="1" pivotButton="0" quotePrefix="0" xfId="37">
      <alignment vertical="center"/>
      <protection locked="1" hidden="1"/>
    </xf>
    <xf numFmtId="0" fontId="39" fillId="0" borderId="26" applyAlignment="1" applyProtection="1" pivotButton="0" quotePrefix="0" xfId="37">
      <alignment vertical="center"/>
      <protection locked="1" hidden="1"/>
    </xf>
    <xf numFmtId="17" fontId="39" fillId="0" borderId="26" applyAlignment="1" applyProtection="1" pivotButton="0" quotePrefix="0" xfId="37">
      <alignment vertical="center"/>
      <protection locked="1" hidden="1"/>
    </xf>
    <xf numFmtId="0" fontId="39" fillId="0" borderId="26" applyAlignment="1" applyProtection="1" pivotButton="0" quotePrefix="0" xfId="37">
      <alignment horizontal="center" vertical="center"/>
      <protection locked="1" hidden="1"/>
    </xf>
    <xf numFmtId="170" fontId="39" fillId="0" borderId="26" applyAlignment="1" applyProtection="1" pivotButton="0" quotePrefix="0" xfId="37">
      <alignment horizontal="center" vertical="center"/>
      <protection locked="0" hidden="0"/>
    </xf>
    <xf numFmtId="0" fontId="2" fillId="0" borderId="0" applyAlignment="1" pivotButton="0" quotePrefix="0" xfId="0">
      <alignment horizontal="center"/>
    </xf>
    <xf numFmtId="0" fontId="2" fillId="0" borderId="0" applyAlignment="1" applyProtection="1" pivotButton="0" quotePrefix="0" xfId="0">
      <alignment vertical="center"/>
      <protection locked="1" hidden="1"/>
    </xf>
    <xf numFmtId="0" fontId="2" fillId="0" borderId="0" applyAlignment="1" pivotButton="0" quotePrefix="0" xfId="0">
      <alignment vertical="center"/>
    </xf>
    <xf numFmtId="0" fontId="2" fillId="22" borderId="26" applyAlignment="1" applyProtection="1" pivotButton="0" quotePrefix="0" xfId="0">
      <alignment horizontal="center" vertical="center"/>
      <protection locked="0" hidden="0"/>
    </xf>
    <xf numFmtId="0" fontId="2" fillId="22" borderId="38" applyAlignment="1" applyProtection="1" pivotButton="0" quotePrefix="0" xfId="0">
      <alignment horizontal="center" vertical="center"/>
      <protection locked="0" hidden="0"/>
    </xf>
    <xf numFmtId="0" fontId="2" fillId="0" borderId="75" applyAlignment="1" applyProtection="1" pivotButton="0" quotePrefix="0" xfId="0">
      <alignment horizontal="center" vertical="center"/>
      <protection locked="0" hidden="0"/>
    </xf>
    <xf numFmtId="0" fontId="56" fillId="0" borderId="10" applyAlignment="1" applyProtection="1" pivotButton="0" quotePrefix="0" xfId="0">
      <alignment horizontal="center" vertical="center"/>
      <protection locked="1" hidden="1"/>
    </xf>
    <xf numFmtId="0" fontId="2" fillId="0" borderId="22" applyAlignment="1" applyProtection="1" pivotButton="0" quotePrefix="0" xfId="0">
      <alignment horizontal="center" vertical="center"/>
      <protection locked="0" hidden="0"/>
    </xf>
    <xf numFmtId="0" fontId="2" fillId="0" borderId="0" applyAlignment="1" applyProtection="1" pivotButton="0" quotePrefix="0" xfId="0">
      <alignment vertical="center"/>
      <protection locked="1" hidden="1"/>
    </xf>
    <xf numFmtId="0" fontId="2" fillId="0" borderId="0" applyAlignment="1" pivotButton="0" quotePrefix="0" xfId="0">
      <alignment vertical="center"/>
    </xf>
    <xf numFmtId="0" fontId="0" fillId="22" borderId="35" applyAlignment="1" applyProtection="1" pivotButton="0" quotePrefix="0" xfId="0">
      <alignment horizontal="center" vertical="center"/>
      <protection locked="1" hidden="1"/>
    </xf>
    <xf numFmtId="165" fontId="43" fillId="0" borderId="12" applyAlignment="1" applyProtection="1" pivotButton="0" quotePrefix="0" xfId="37">
      <alignment horizontal="center" vertical="center"/>
      <protection locked="0" hidden="0"/>
    </xf>
    <xf numFmtId="0" fontId="53" fillId="0" borderId="10" applyAlignment="1" applyProtection="1" pivotButton="0" quotePrefix="0" xfId="0">
      <alignment horizontal="center" vertical="center"/>
      <protection locked="1" hidden="1"/>
    </xf>
    <xf numFmtId="0" fontId="59" fillId="27" borderId="23" applyAlignment="1" applyProtection="1" pivotButton="0" quotePrefix="0" xfId="0">
      <alignment horizontal="center" vertical="center"/>
      <protection locked="0" hidden="0"/>
    </xf>
    <xf numFmtId="0" fontId="59" fillId="27" borderId="51" applyAlignment="1" applyProtection="1" pivotButton="0" quotePrefix="0" xfId="0">
      <alignment horizontal="center" vertical="center"/>
      <protection locked="0" hidden="0"/>
    </xf>
    <xf numFmtId="0" fontId="37" fillId="28" borderId="23" applyAlignment="1" applyProtection="1" pivotButton="0" quotePrefix="0" xfId="0">
      <alignment horizontal="center" vertical="center"/>
      <protection locked="0" hidden="0"/>
    </xf>
    <xf numFmtId="0" fontId="53" fillId="28" borderId="23" applyAlignment="1" applyProtection="1" pivotButton="0" quotePrefix="0" xfId="0">
      <alignment horizontal="center" vertical="center"/>
      <protection locked="0" hidden="0"/>
    </xf>
    <xf numFmtId="0" fontId="12" fillId="0" borderId="0" applyAlignment="1" applyProtection="1" pivotButton="0" quotePrefix="0" xfId="0">
      <alignment horizontal="center" vertical="center"/>
      <protection locked="0" hidden="0"/>
    </xf>
    <xf numFmtId="3" fontId="2" fillId="0" borderId="0" pivotButton="0" quotePrefix="0" xfId="0"/>
    <xf numFmtId="165" fontId="2" fillId="0" borderId="12" applyAlignment="1" applyProtection="1" pivotButton="0" quotePrefix="0" xfId="37">
      <alignment horizontal="center" vertical="center"/>
      <protection locked="0" hidden="0"/>
    </xf>
    <xf numFmtId="165" fontId="37" fillId="0" borderId="12" applyAlignment="1" applyProtection="1" pivotButton="0" quotePrefix="0" xfId="37">
      <alignment horizontal="center" vertical="center"/>
      <protection locked="0" hidden="0"/>
    </xf>
    <xf numFmtId="165" fontId="63" fillId="0" borderId="12" applyAlignment="1" applyProtection="1" pivotButton="0" quotePrefix="0" xfId="37">
      <alignment horizontal="center" vertical="center"/>
      <protection locked="0" hidden="0"/>
    </xf>
    <xf numFmtId="0" fontId="60" fillId="27" borderId="51" applyAlignment="1" applyProtection="1" pivotButton="0" quotePrefix="0" xfId="0">
      <alignment horizontal="center" vertical="center"/>
      <protection locked="0" hidden="0"/>
    </xf>
    <xf numFmtId="0" fontId="49" fillId="0" borderId="0" applyAlignment="1" applyProtection="1" pivotButton="0" quotePrefix="0" xfId="0">
      <alignment horizontal="left" vertical="center"/>
      <protection locked="1" hidden="1"/>
    </xf>
    <xf numFmtId="0" fontId="2" fillId="0" borderId="31" applyAlignment="1" applyProtection="1" pivotButton="0" quotePrefix="0" xfId="0">
      <alignment horizontal="center" vertical="center"/>
      <protection locked="0" hidden="0"/>
    </xf>
    <xf numFmtId="0" fontId="2" fillId="0" borderId="66" applyAlignment="1" applyProtection="1" pivotButton="0" quotePrefix="0" xfId="0">
      <alignment horizontal="center" vertical="center"/>
      <protection locked="0" hidden="0"/>
    </xf>
    <xf numFmtId="0" fontId="57" fillId="27" borderId="31" applyAlignment="1" applyProtection="1" pivotButton="0" quotePrefix="0" xfId="0">
      <alignment horizontal="center" vertical="center"/>
      <protection locked="1" hidden="1"/>
    </xf>
    <xf numFmtId="0" fontId="1" fillId="27" borderId="67" applyAlignment="1" applyProtection="1" pivotButton="0" quotePrefix="0" xfId="0">
      <alignment horizontal="center" vertical="center"/>
      <protection locked="1" hidden="1"/>
    </xf>
    <xf numFmtId="0" fontId="1" fillId="27" borderId="66" applyAlignment="1" applyProtection="1" pivotButton="0" quotePrefix="0" xfId="0">
      <alignment horizontal="center" vertical="center"/>
      <protection locked="1" hidden="1"/>
    </xf>
    <xf numFmtId="0" fontId="2" fillId="0" borderId="55" applyAlignment="1" applyProtection="1" pivotButton="0" quotePrefix="0" xfId="0">
      <alignment horizontal="center" vertical="center"/>
      <protection locked="0" hidden="0"/>
    </xf>
    <xf numFmtId="0" fontId="2" fillId="0" borderId="56" applyAlignment="1" applyProtection="1" pivotButton="0" quotePrefix="0" xfId="0">
      <alignment horizontal="center" vertical="center"/>
      <protection locked="0" hidden="0"/>
    </xf>
    <xf numFmtId="0" fontId="1" fillId="28" borderId="31" applyAlignment="1" applyProtection="1" pivotButton="0" quotePrefix="0" xfId="0">
      <alignment horizontal="center" vertical="center"/>
      <protection locked="1" hidden="1"/>
    </xf>
    <xf numFmtId="0" fontId="1" fillId="28" borderId="67" applyAlignment="1" applyProtection="1" pivotButton="0" quotePrefix="0" xfId="0">
      <alignment horizontal="center" vertical="center"/>
      <protection locked="1" hidden="1"/>
    </xf>
    <xf numFmtId="0" fontId="1" fillId="28" borderId="66" applyAlignment="1" applyProtection="1" pivotButton="0" quotePrefix="0" xfId="0">
      <alignment horizontal="center" vertical="center"/>
      <protection locked="1" hidden="1"/>
    </xf>
    <xf numFmtId="0" fontId="11" fillId="0" borderId="0" applyAlignment="1" applyProtection="1" pivotButton="0" quotePrefix="0" xfId="0">
      <alignment horizontal="center" vertical="center" wrapText="1"/>
      <protection locked="1" hidden="1"/>
    </xf>
    <xf numFmtId="169" fontId="2" fillId="0" borderId="31" applyAlignment="1" applyProtection="1" pivotButton="0" quotePrefix="0" xfId="0">
      <alignment horizontal="center" vertical="center"/>
      <protection locked="0" hidden="0"/>
    </xf>
    <xf numFmtId="169" fontId="2" fillId="0" borderId="66" applyAlignment="1" applyProtection="1" pivotButton="0" quotePrefix="0" xfId="0">
      <alignment horizontal="center" vertical="center"/>
      <protection locked="0" hidden="0"/>
    </xf>
    <xf numFmtId="0" fontId="2" fillId="0" borderId="31" applyAlignment="1" applyProtection="1" pivotButton="0" quotePrefix="0" xfId="0">
      <alignment horizontal="left" vertical="center"/>
      <protection locked="0" hidden="0"/>
    </xf>
    <xf numFmtId="0" fontId="2" fillId="0" borderId="67" applyAlignment="1" applyProtection="1" pivotButton="0" quotePrefix="0" xfId="0">
      <alignment horizontal="left" vertical="center"/>
      <protection locked="0" hidden="0"/>
    </xf>
    <xf numFmtId="0" fontId="2" fillId="0" borderId="66" applyAlignment="1" applyProtection="1" pivotButton="0" quotePrefix="0" xfId="0">
      <alignment horizontal="left" vertical="center"/>
      <protection locked="0" hidden="0"/>
    </xf>
    <xf numFmtId="0" fontId="54" fillId="0" borderId="31" applyAlignment="1" applyProtection="1" pivotButton="0" quotePrefix="0" xfId="0">
      <alignment horizontal="center" vertical="center"/>
      <protection locked="1" hidden="1"/>
    </xf>
    <xf numFmtId="0" fontId="54" fillId="0" borderId="67" applyAlignment="1" applyProtection="1" pivotButton="0" quotePrefix="0" xfId="0">
      <alignment horizontal="center" vertical="center"/>
      <protection locked="1" hidden="1"/>
    </xf>
    <xf numFmtId="0" fontId="54" fillId="0" borderId="67" applyAlignment="1" pivotButton="0" quotePrefix="0" xfId="0">
      <alignment horizontal="center" vertical="center"/>
    </xf>
    <xf numFmtId="0" fontId="54" fillId="0" borderId="67" applyAlignment="1" pivotButton="0" quotePrefix="0" xfId="0">
      <alignment vertical="center"/>
    </xf>
    <xf numFmtId="0" fontId="54" fillId="0" borderId="66" applyAlignment="1" pivotButton="0" quotePrefix="0" xfId="0">
      <alignment vertical="center"/>
    </xf>
    <xf numFmtId="0" fontId="52" fillId="0" borderId="0" applyAlignment="1" applyProtection="1" pivotButton="0" quotePrefix="0" xfId="0">
      <alignment horizontal="center"/>
      <protection locked="1" hidden="1"/>
    </xf>
    <xf numFmtId="0" fontId="46" fillId="0" borderId="0" pivotButton="0" quotePrefix="0" xfId="0"/>
    <xf numFmtId="0" fontId="11" fillId="0" borderId="0" applyAlignment="1" applyProtection="1" pivotButton="0" quotePrefix="0" xfId="0">
      <alignment horizontal="center" vertical="center"/>
      <protection locked="1" hidden="1"/>
    </xf>
    <xf numFmtId="0" fontId="0" fillId="0" borderId="0" applyAlignment="1" pivotButton="0" quotePrefix="0" xfId="0">
      <alignment horizontal="center" vertical="center"/>
    </xf>
    <xf numFmtId="0" fontId="55" fillId="0" borderId="31" applyAlignment="1" applyProtection="1" pivotButton="0" quotePrefix="0" xfId="0">
      <alignment horizontal="center" vertical="center"/>
      <protection locked="0" hidden="0"/>
    </xf>
    <xf numFmtId="0" fontId="55" fillId="0" borderId="67" applyAlignment="1" applyProtection="1" pivotButton="0" quotePrefix="0" xfId="0">
      <alignment horizontal="center" vertical="center"/>
      <protection locked="0" hidden="0"/>
    </xf>
    <xf numFmtId="0" fontId="55" fillId="0" borderId="66" applyAlignment="1" applyProtection="1" pivotButton="0" quotePrefix="0" xfId="0">
      <alignment horizontal="center" vertical="center"/>
      <protection locked="0" hidden="0"/>
    </xf>
    <xf numFmtId="14" fontId="2" fillId="0" borderId="31" applyAlignment="1" applyProtection="1" pivotButton="0" quotePrefix="0" xfId="0">
      <alignment horizontal="center" vertical="center"/>
      <protection locked="0" hidden="0"/>
    </xf>
    <xf numFmtId="0" fontId="12" fillId="0" borderId="31" applyAlignment="1" applyProtection="1" pivotButton="0" quotePrefix="0" xfId="0">
      <alignment horizontal="center" vertical="center"/>
      <protection locked="0" hidden="0"/>
    </xf>
    <xf numFmtId="0" fontId="12" fillId="0" borderId="67" applyAlignment="1" applyProtection="1" pivotButton="0" quotePrefix="0" xfId="0">
      <alignment horizontal="center" vertical="center"/>
      <protection locked="0" hidden="0"/>
    </xf>
    <xf numFmtId="0" fontId="12" fillId="0" borderId="66" applyAlignment="1" applyProtection="1" pivotButton="0" quotePrefix="0" xfId="0">
      <alignment horizontal="center" vertical="center"/>
      <protection locked="0" hidden="0"/>
    </xf>
    <xf numFmtId="0" fontId="0" fillId="0" borderId="31" applyAlignment="1" applyProtection="1" pivotButton="0" quotePrefix="0" xfId="0">
      <alignment horizontal="center" vertical="center"/>
      <protection locked="0" hidden="0"/>
    </xf>
    <xf numFmtId="0" fontId="0" fillId="0" borderId="67" applyAlignment="1" applyProtection="1" pivotButton="0" quotePrefix="0" xfId="0">
      <alignment horizontal="center" vertical="center"/>
      <protection locked="0" hidden="0"/>
    </xf>
    <xf numFmtId="0" fontId="0" fillId="0" borderId="66" applyAlignment="1" applyProtection="1" pivotButton="0" quotePrefix="0" xfId="0">
      <alignment horizontal="center" vertical="center"/>
      <protection locked="0" hidden="0"/>
    </xf>
    <xf numFmtId="0" fontId="2" fillId="0" borderId="10" applyAlignment="1" applyProtection="1" pivotButton="0" quotePrefix="0" xfId="0">
      <alignment horizontal="center" vertical="center"/>
      <protection locked="1" hidden="1"/>
    </xf>
    <xf numFmtId="0" fontId="0" fillId="0" borderId="10" applyAlignment="1" pivotButton="0" quotePrefix="0" xfId="0">
      <alignment horizontal="center" vertical="center"/>
    </xf>
    <xf numFmtId="0" fontId="1" fillId="0" borderId="10" applyAlignment="1" applyProtection="1" pivotButton="0" quotePrefix="0" xfId="0">
      <alignment horizontal="center" vertical="center"/>
      <protection locked="1" hidden="1"/>
    </xf>
    <xf numFmtId="0" fontId="58" fillId="27" borderId="31" applyAlignment="1" applyProtection="1" pivotButton="0" quotePrefix="0" xfId="0">
      <alignment horizontal="center" vertical="center"/>
      <protection locked="1" hidden="1"/>
    </xf>
    <xf numFmtId="0" fontId="58" fillId="27" borderId="67" applyAlignment="1" applyProtection="1" pivotButton="0" quotePrefix="0" xfId="0">
      <alignment horizontal="center" vertical="center"/>
      <protection locked="1" hidden="1"/>
    </xf>
    <xf numFmtId="0" fontId="58" fillId="27" borderId="66" applyAlignment="1" applyProtection="1" pivotButton="0" quotePrefix="0" xfId="0">
      <alignment horizontal="center" vertical="center"/>
      <protection locked="1" hidden="1"/>
    </xf>
    <xf numFmtId="0" fontId="58" fillId="27" borderId="31" applyAlignment="1" applyProtection="1" pivotButton="0" quotePrefix="0" xfId="0">
      <alignment horizontal="center" vertical="center"/>
      <protection locked="0" hidden="0"/>
    </xf>
    <xf numFmtId="0" fontId="58" fillId="27" borderId="67" applyAlignment="1" applyProtection="1" pivotButton="0" quotePrefix="0" xfId="0">
      <alignment horizontal="center" vertical="center"/>
      <protection locked="0" hidden="0"/>
    </xf>
    <xf numFmtId="0" fontId="58" fillId="27" borderId="66" applyAlignment="1" applyProtection="1" pivotButton="0" quotePrefix="0" xfId="0">
      <alignment horizontal="center" vertical="center"/>
      <protection locked="0" hidden="0"/>
    </xf>
    <xf numFmtId="0" fontId="2" fillId="0" borderId="58" applyAlignment="1" applyProtection="1" pivotButton="0" quotePrefix="0" xfId="37">
      <alignment horizontal="center" vertical="center"/>
      <protection locked="0" hidden="0"/>
    </xf>
    <xf numFmtId="0" fontId="2" fillId="0" borderId="39" applyAlignment="1" applyProtection="1" pivotButton="0" quotePrefix="0" xfId="37">
      <alignment horizontal="center" vertical="center"/>
      <protection locked="0" hidden="0"/>
    </xf>
    <xf numFmtId="17" fontId="2" fillId="0" borderId="37" applyAlignment="1" applyProtection="1" pivotButton="0" quotePrefix="0" xfId="37">
      <alignment horizontal="center" vertical="center"/>
      <protection locked="0" hidden="0"/>
    </xf>
    <xf numFmtId="17" fontId="2" fillId="0" borderId="59" applyAlignment="1" applyProtection="1" pivotButton="0" quotePrefix="0" xfId="37">
      <alignment horizontal="center" vertical="center"/>
      <protection locked="0" hidden="0"/>
    </xf>
    <xf numFmtId="17" fontId="2" fillId="0" borderId="39" applyAlignment="1" applyProtection="1" pivotButton="0" quotePrefix="0" xfId="37">
      <alignment horizontal="center" vertical="center"/>
      <protection locked="0" hidden="0"/>
    </xf>
    <xf numFmtId="0" fontId="2" fillId="0" borderId="37" applyAlignment="1" applyProtection="1" pivotButton="0" quotePrefix="0" xfId="37">
      <alignment horizontal="center" vertical="center"/>
      <protection locked="0" hidden="0"/>
    </xf>
    <xf numFmtId="0" fontId="2" fillId="0" borderId="59" applyAlignment="1" applyProtection="1" pivotButton="0" quotePrefix="0" xfId="37">
      <alignment horizontal="center" vertical="center"/>
      <protection locked="0" hidden="0"/>
    </xf>
    <xf numFmtId="170" fontId="2" fillId="0" borderId="37" applyAlignment="1" applyProtection="1" pivotButton="0" quotePrefix="0" xfId="37">
      <alignment horizontal="center" vertical="center"/>
      <protection locked="0" hidden="0"/>
    </xf>
    <xf numFmtId="170" fontId="2" fillId="0" borderId="59" applyAlignment="1" applyProtection="1" pivotButton="0" quotePrefix="0" xfId="37">
      <alignment horizontal="center" vertical="center"/>
      <protection locked="0" hidden="0"/>
    </xf>
    <xf numFmtId="170" fontId="2" fillId="0" borderId="54" applyAlignment="1" applyProtection="1" pivotButton="0" quotePrefix="0" xfId="37">
      <alignment horizontal="center" vertical="center"/>
      <protection locked="0" hidden="0"/>
    </xf>
    <xf numFmtId="0" fontId="2" fillId="0" borderId="55" applyAlignment="1" applyProtection="1" pivotButton="0" quotePrefix="0" xfId="37">
      <alignment horizontal="center" vertical="center"/>
      <protection locked="0" hidden="0"/>
    </xf>
    <xf numFmtId="0" fontId="2" fillId="0" borderId="60" applyAlignment="1" applyProtection="1" pivotButton="0" quotePrefix="0" xfId="37">
      <alignment horizontal="center" vertical="center"/>
      <protection locked="0" hidden="0"/>
    </xf>
    <xf numFmtId="17" fontId="2" fillId="0" borderId="61" applyAlignment="1" applyProtection="1" pivotButton="0" quotePrefix="0" xfId="37">
      <alignment horizontal="center" vertical="center"/>
      <protection locked="0" hidden="0"/>
    </xf>
    <xf numFmtId="17" fontId="2" fillId="0" borderId="62" applyAlignment="1" applyProtection="1" pivotButton="0" quotePrefix="0" xfId="37">
      <alignment horizontal="center" vertical="center"/>
      <protection locked="0" hidden="0"/>
    </xf>
    <xf numFmtId="17" fontId="2" fillId="0" borderId="60" applyAlignment="1" applyProtection="1" pivotButton="0" quotePrefix="0" xfId="37">
      <alignment horizontal="center" vertical="center"/>
      <protection locked="0" hidden="0"/>
    </xf>
    <xf numFmtId="0" fontId="2" fillId="0" borderId="61" applyAlignment="1" applyProtection="1" pivotButton="0" quotePrefix="0" xfId="37">
      <alignment horizontal="center" vertical="center"/>
      <protection locked="0" hidden="0"/>
    </xf>
    <xf numFmtId="0" fontId="2" fillId="0" borderId="62" applyAlignment="1" applyProtection="1" pivotButton="0" quotePrefix="0" xfId="37">
      <alignment horizontal="center" vertical="center"/>
      <protection locked="0" hidden="0"/>
    </xf>
    <xf numFmtId="170" fontId="2" fillId="0" borderId="61" applyAlignment="1" applyProtection="1" pivotButton="0" quotePrefix="0" xfId="37">
      <alignment horizontal="center" vertical="center"/>
      <protection locked="0" hidden="0"/>
    </xf>
    <xf numFmtId="170" fontId="2" fillId="0" borderId="62" applyAlignment="1" applyProtection="1" pivotButton="0" quotePrefix="0" xfId="37">
      <alignment horizontal="center" vertical="center"/>
      <protection locked="0" hidden="0"/>
    </xf>
    <xf numFmtId="170" fontId="2" fillId="0" borderId="56" applyAlignment="1" applyProtection="1" pivotButton="0" quotePrefix="0" xfId="37">
      <alignment horizontal="center" vertical="center"/>
      <protection locked="0" hidden="0"/>
    </xf>
    <xf numFmtId="0" fontId="2" fillId="0" borderId="57" applyAlignment="1" applyProtection="1" pivotButton="0" quotePrefix="0" xfId="37">
      <alignment horizontal="center" vertical="center"/>
      <protection locked="0" hidden="0"/>
    </xf>
    <xf numFmtId="0" fontId="2" fillId="0" borderId="63" applyAlignment="1" applyProtection="1" pivotButton="0" quotePrefix="0" xfId="37">
      <alignment horizontal="center" vertical="center"/>
      <protection locked="0" hidden="0"/>
    </xf>
    <xf numFmtId="17" fontId="2" fillId="0" borderId="38" applyAlignment="1" applyProtection="1" pivotButton="0" quotePrefix="0" xfId="37">
      <alignment horizontal="center" vertical="center"/>
      <protection locked="0" hidden="0"/>
    </xf>
    <xf numFmtId="17" fontId="2" fillId="0" borderId="64" applyAlignment="1" applyProtection="1" pivotButton="0" quotePrefix="0" xfId="37">
      <alignment horizontal="center" vertical="center"/>
      <protection locked="0" hidden="0"/>
    </xf>
    <xf numFmtId="17" fontId="2" fillId="0" borderId="63" applyAlignment="1" applyProtection="1" pivotButton="0" quotePrefix="0" xfId="37">
      <alignment horizontal="center" vertical="center"/>
      <protection locked="0" hidden="0"/>
    </xf>
    <xf numFmtId="0" fontId="2" fillId="22" borderId="35" applyAlignment="1" applyProtection="1" pivotButton="0" quotePrefix="0" xfId="37">
      <alignment horizontal="center" vertical="center" wrapText="1"/>
      <protection locked="0" hidden="0"/>
    </xf>
    <xf numFmtId="0" fontId="2" fillId="22" borderId="40" applyAlignment="1" applyProtection="1" pivotButton="0" quotePrefix="0" xfId="37">
      <alignment horizontal="center" vertical="center" wrapText="1"/>
      <protection locked="0" hidden="0"/>
    </xf>
    <xf numFmtId="0" fontId="2" fillId="22" borderId="10" applyAlignment="1" applyProtection="1" pivotButton="0" quotePrefix="0" xfId="37">
      <alignment horizontal="center" vertical="center" wrapText="1"/>
      <protection locked="0" hidden="0"/>
    </xf>
    <xf numFmtId="0" fontId="2" fillId="22" borderId="10" applyAlignment="1" applyProtection="1" pivotButton="0" quotePrefix="0" xfId="37">
      <alignment vertical="center" wrapText="1"/>
      <protection locked="0" hidden="0"/>
    </xf>
    <xf numFmtId="0" fontId="6" fillId="19" borderId="35" applyAlignment="1" applyProtection="1" pivotButton="0" quotePrefix="0" xfId="37">
      <alignment horizontal="center" vertical="center" shrinkToFit="1"/>
      <protection locked="0" hidden="0"/>
    </xf>
    <xf numFmtId="0" fontId="2" fillId="0" borderId="40" applyAlignment="1" applyProtection="1" pivotButton="0" quotePrefix="0" xfId="37">
      <alignment vertical="center" shrinkToFit="1"/>
      <protection locked="0" hidden="0"/>
    </xf>
    <xf numFmtId="0" fontId="2" fillId="0" borderId="38" applyAlignment="1" applyProtection="1" pivotButton="0" quotePrefix="0" xfId="37">
      <alignment horizontal="center" vertical="center"/>
      <protection locked="0" hidden="0"/>
    </xf>
    <xf numFmtId="0" fontId="2" fillId="0" borderId="64" applyAlignment="1" applyProtection="1" pivotButton="0" quotePrefix="0" xfId="37">
      <alignment horizontal="center" vertical="center"/>
      <protection locked="0" hidden="0"/>
    </xf>
    <xf numFmtId="170" fontId="2" fillId="0" borderId="38" applyAlignment="1" applyProtection="1" pivotButton="0" quotePrefix="0" xfId="37">
      <alignment horizontal="center" vertical="center"/>
      <protection locked="0" hidden="0"/>
    </xf>
    <xf numFmtId="170" fontId="2" fillId="0" borderId="64" applyAlignment="1" applyProtection="1" pivotButton="0" quotePrefix="0" xfId="37">
      <alignment horizontal="center" vertical="center"/>
      <protection locked="0" hidden="0"/>
    </xf>
    <xf numFmtId="170" fontId="2" fillId="0" borderId="53" applyAlignment="1" applyProtection="1" pivotButton="0" quotePrefix="0" xfId="37">
      <alignment horizontal="center" vertical="center"/>
      <protection locked="0" hidden="0"/>
    </xf>
    <xf numFmtId="0" fontId="2" fillId="18" borderId="65" applyAlignment="1" applyProtection="1" pivotButton="0" quotePrefix="0" xfId="37">
      <alignment horizontal="center" vertical="center"/>
      <protection locked="1" hidden="1"/>
    </xf>
    <xf numFmtId="0" fontId="2" fillId="0" borderId="31" applyAlignment="1" applyProtection="1" pivotButton="0" quotePrefix="0" xfId="37">
      <alignment horizontal="center" vertical="center"/>
      <protection locked="0" hidden="0"/>
    </xf>
    <xf numFmtId="0" fontId="2" fillId="0" borderId="66" applyAlignment="1" applyProtection="1" pivotButton="0" quotePrefix="0" xfId="37">
      <alignment horizontal="center" vertical="center"/>
      <protection locked="0" hidden="0"/>
    </xf>
    <xf numFmtId="0" fontId="8" fillId="21" borderId="35" applyAlignment="1" applyProtection="1" pivotButton="0" quotePrefix="1" xfId="37">
      <alignment horizontal="center" vertical="center"/>
      <protection locked="1" hidden="1"/>
    </xf>
    <xf numFmtId="0" fontId="2" fillId="0" borderId="40" applyAlignment="1" pivotButton="0" quotePrefix="0" xfId="37">
      <alignment vertical="center"/>
    </xf>
    <xf numFmtId="0" fontId="2" fillId="20" borderId="35" applyAlignment="1" applyProtection="1" pivotButton="0" quotePrefix="0" xfId="37">
      <alignment horizontal="center" vertical="center"/>
      <protection locked="0" hidden="0"/>
    </xf>
    <xf numFmtId="0" fontId="2" fillId="0" borderId="40" applyAlignment="1" applyProtection="1" pivotButton="0" quotePrefix="0" xfId="37">
      <alignment vertical="center"/>
      <protection locked="0" hidden="0"/>
    </xf>
    <xf numFmtId="0" fontId="50" fillId="19" borderId="35" applyAlignment="1" applyProtection="1" pivotButton="0" quotePrefix="0" xfId="37">
      <alignment horizontal="center" vertical="center"/>
      <protection locked="0" hidden="0"/>
    </xf>
    <xf numFmtId="0" fontId="51" fillId="0" borderId="40" applyAlignment="1" applyProtection="1" pivotButton="0" quotePrefix="0" xfId="37">
      <alignment vertical="center"/>
      <protection locked="0" hidden="0"/>
    </xf>
    <xf numFmtId="0" fontId="1" fillId="19" borderId="68" applyAlignment="1" applyProtection="1" pivotButton="0" quotePrefix="0" xfId="37">
      <alignment horizontal="center" vertical="center"/>
      <protection locked="0" hidden="0"/>
    </xf>
    <xf numFmtId="0" fontId="2" fillId="0" borderId="69" applyAlignment="1" applyProtection="1" pivotButton="0" quotePrefix="0" xfId="37">
      <alignment horizontal="center" vertical="center"/>
      <protection locked="0" hidden="0"/>
    </xf>
    <xf numFmtId="0" fontId="1" fillId="22" borderId="31" applyAlignment="1" applyProtection="1" pivotButton="0" quotePrefix="0" xfId="37">
      <alignment horizontal="center" vertical="center"/>
      <protection locked="1" hidden="1"/>
    </xf>
    <xf numFmtId="0" fontId="1" fillId="22" borderId="67" applyAlignment="1" applyProtection="1" pivotButton="0" quotePrefix="0" xfId="37">
      <alignment horizontal="center" vertical="center"/>
      <protection locked="1" hidden="1"/>
    </xf>
    <xf numFmtId="0" fontId="1" fillId="22" borderId="66" applyAlignment="1" applyProtection="1" pivotButton="0" quotePrefix="0" xfId="37">
      <alignment horizontal="center" vertical="center"/>
      <protection locked="1" hidden="1"/>
    </xf>
    <xf numFmtId="0" fontId="12" fillId="0" borderId="31" applyAlignment="1" applyProtection="1" pivotButton="0" quotePrefix="0" xfId="37">
      <alignment horizontal="center" vertical="center"/>
      <protection locked="0" hidden="0"/>
    </xf>
    <xf numFmtId="0" fontId="12" fillId="0" borderId="66" applyAlignment="1" applyProtection="1" pivotButton="0" quotePrefix="0" xfId="37">
      <alignment horizontal="center" vertical="center"/>
      <protection locked="0" hidden="0"/>
    </xf>
    <xf numFmtId="167" fontId="2" fillId="0" borderId="31" applyAlignment="1" applyProtection="1" pivotButton="0" quotePrefix="0" xfId="37">
      <alignment horizontal="center" vertical="center"/>
      <protection locked="0" hidden="0"/>
    </xf>
    <xf numFmtId="167" fontId="2" fillId="0" borderId="67" applyAlignment="1" applyProtection="1" pivotButton="0" quotePrefix="0" xfId="37">
      <alignment horizontal="center" vertical="center"/>
      <protection locked="0" hidden="0"/>
    </xf>
    <xf numFmtId="167" fontId="2" fillId="0" borderId="66" applyAlignment="1" applyProtection="1" pivotButton="0" quotePrefix="0" xfId="37">
      <alignment horizontal="center" vertical="center"/>
      <protection locked="0" hidden="0"/>
    </xf>
    <xf numFmtId="0" fontId="52" fillId="18" borderId="18" applyAlignment="1" applyProtection="1" pivotButton="0" quotePrefix="0" xfId="37">
      <alignment horizontal="center" vertical="center"/>
      <protection locked="1" hidden="1"/>
    </xf>
    <xf numFmtId="0" fontId="52" fillId="18" borderId="0" applyAlignment="1" applyProtection="1" pivotButton="0" quotePrefix="0" xfId="37">
      <alignment horizontal="center" vertical="center"/>
      <protection locked="1" hidden="1"/>
    </xf>
    <xf numFmtId="0" fontId="52" fillId="18" borderId="19" applyAlignment="1" applyProtection="1" pivotButton="0" quotePrefix="0" xfId="37">
      <alignment horizontal="center" vertical="center"/>
      <protection locked="1" hidden="1"/>
    </xf>
    <xf numFmtId="0" fontId="52" fillId="18" borderId="18" applyAlignment="1" applyProtection="1" pivotButton="0" quotePrefix="0" xfId="0">
      <alignment horizontal="center" vertical="center"/>
      <protection locked="1" hidden="1"/>
    </xf>
    <xf numFmtId="0" fontId="52" fillId="18" borderId="0" applyAlignment="1" applyProtection="1" pivotButton="0" quotePrefix="0" xfId="0">
      <alignment horizontal="center" vertical="center"/>
      <protection locked="1" hidden="1"/>
    </xf>
    <xf numFmtId="0" fontId="52" fillId="18" borderId="19" applyAlignment="1" applyProtection="1" pivotButton="0" quotePrefix="0" xfId="0">
      <alignment horizontal="center" vertical="center"/>
      <protection locked="1" hidden="1"/>
    </xf>
    <xf numFmtId="0" fontId="1" fillId="25" borderId="55" applyAlignment="1" applyProtection="1" pivotButton="0" quotePrefix="0" xfId="0">
      <alignment horizontal="center" vertical="center"/>
      <protection locked="1" hidden="1"/>
    </xf>
    <xf numFmtId="0" fontId="1" fillId="25" borderId="62" applyAlignment="1" applyProtection="1" pivotButton="0" quotePrefix="0" xfId="0">
      <alignment horizontal="center" vertical="center"/>
      <protection locked="1" hidden="1"/>
    </xf>
    <xf numFmtId="0" fontId="1" fillId="25" borderId="56" applyAlignment="1" applyProtection="1" pivotButton="0" quotePrefix="0" xfId="0">
      <alignment horizontal="center" vertical="center"/>
      <protection locked="1" hidden="1"/>
    </xf>
    <xf numFmtId="167" fontId="2" fillId="0" borderId="31" applyAlignment="1" applyProtection="1" pivotButton="0" quotePrefix="0" xfId="0">
      <alignment horizontal="center" vertical="center"/>
      <protection locked="0" hidden="0"/>
    </xf>
    <xf numFmtId="167" fontId="2" fillId="0" borderId="67" applyAlignment="1" applyProtection="1" pivotButton="0" quotePrefix="0" xfId="0">
      <alignment horizontal="center" vertical="center"/>
      <protection locked="0" hidden="0"/>
    </xf>
    <xf numFmtId="167" fontId="2" fillId="0" borderId="66" applyAlignment="1" applyProtection="1" pivotButton="0" quotePrefix="0" xfId="0">
      <alignment horizontal="center" vertical="center"/>
      <protection locked="0" hidden="0"/>
    </xf>
    <xf numFmtId="0" fontId="2" fillId="25" borderId="34" applyAlignment="1" applyProtection="1" pivotButton="0" quotePrefix="0" xfId="0">
      <alignment horizontal="center" vertical="center"/>
      <protection locked="1" hidden="1"/>
    </xf>
    <xf numFmtId="0" fontId="0" fillId="25" borderId="70" applyAlignment="1" pivotButton="0" quotePrefix="0" xfId="0">
      <alignment vertical="center"/>
    </xf>
    <xf numFmtId="0" fontId="2" fillId="0" borderId="22" applyAlignment="1" applyProtection="1" pivotButton="0" quotePrefix="0" xfId="0">
      <alignment horizontal="center" vertical="center"/>
      <protection locked="0" hidden="0"/>
    </xf>
    <xf numFmtId="0" fontId="2" fillId="0" borderId="50" applyAlignment="1" applyProtection="1" pivotButton="0" quotePrefix="0" xfId="0">
      <alignment horizontal="center" vertical="center"/>
      <protection locked="0" hidden="0"/>
    </xf>
    <xf numFmtId="0" fontId="2" fillId="23" borderId="0" applyAlignment="1" applyProtection="1" pivotButton="0" quotePrefix="0" xfId="0">
      <alignment horizontal="center" vertical="center"/>
      <protection locked="1" hidden="1"/>
    </xf>
    <xf numFmtId="0" fontId="2" fillId="0" borderId="0" applyAlignment="1" applyProtection="1" pivotButton="0" quotePrefix="0" xfId="0">
      <alignment vertical="center"/>
      <protection locked="1" hidden="1"/>
    </xf>
    <xf numFmtId="0" fontId="2" fillId="0" borderId="0" applyAlignment="1" pivotButton="0" quotePrefix="0" xfId="0">
      <alignment vertical="center"/>
    </xf>
    <xf numFmtId="0" fontId="2" fillId="18" borderId="65" applyAlignment="1" applyProtection="1" pivotButton="0" quotePrefix="0" xfId="0">
      <alignment horizontal="center" vertical="center"/>
      <protection locked="1" hidden="1"/>
    </xf>
    <xf numFmtId="0" fontId="0" fillId="0" borderId="65" applyAlignment="1" pivotButton="0" quotePrefix="0" xfId="0">
      <alignment horizontal="center" vertical="center"/>
    </xf>
    <xf numFmtId="17" fontId="2" fillId="0" borderId="71" applyAlignment="1" applyProtection="1" pivotButton="0" quotePrefix="0" xfId="0">
      <alignment horizontal="center" vertical="center"/>
      <protection locked="0" hidden="0"/>
    </xf>
    <xf numFmtId="0" fontId="2" fillId="0" borderId="71" applyAlignment="1" applyProtection="1" pivotButton="0" quotePrefix="0" xfId="0">
      <alignment vertical="center"/>
      <protection locked="0" hidden="0"/>
    </xf>
    <xf numFmtId="169" fontId="2" fillId="0" borderId="71" applyAlignment="1" applyProtection="1" pivotButton="0" quotePrefix="0" xfId="0">
      <alignment horizontal="center" vertical="center"/>
      <protection locked="0" hidden="0"/>
    </xf>
    <xf numFmtId="169" fontId="2" fillId="0" borderId="71" applyAlignment="1" applyProtection="1" pivotButton="0" quotePrefix="0" xfId="0">
      <alignment vertical="center"/>
      <protection locked="0" hidden="0"/>
    </xf>
    <xf numFmtId="169" fontId="2" fillId="0" borderId="50" applyAlignment="1" applyProtection="1" pivotButton="0" quotePrefix="0" xfId="0">
      <alignment vertical="center"/>
      <protection locked="0" hidden="0"/>
    </xf>
    <xf numFmtId="1" fontId="2" fillId="0" borderId="31" applyAlignment="1" applyProtection="1" pivotButton="0" quotePrefix="0" xfId="0">
      <alignment horizontal="center" vertical="center"/>
      <protection locked="0" hidden="0"/>
    </xf>
    <xf numFmtId="0" fontId="2" fillId="18" borderId="0" applyAlignment="1" applyProtection="1" pivotButton="0" quotePrefix="0" xfId="0">
      <alignment horizontal="center"/>
      <protection locked="1" hidden="1"/>
    </xf>
    <xf numFmtId="0" fontId="2" fillId="0" borderId="0" applyProtection="1" pivotButton="0" quotePrefix="0" xfId="0">
      <protection locked="1" hidden="1"/>
    </xf>
    <xf numFmtId="0" fontId="2" fillId="0" borderId="0" pivotButton="0" quotePrefix="0" xfId="0"/>
    <xf numFmtId="0" fontId="2" fillId="18" borderId="65" applyAlignment="1" applyProtection="1" pivotButton="0" quotePrefix="0" xfId="0">
      <alignment horizontal="center"/>
      <protection locked="1" hidden="1"/>
    </xf>
    <xf numFmtId="0" fontId="0" fillId="0" borderId="65" applyAlignment="1" pivotButton="0" quotePrefix="0" xfId="0">
      <alignment horizontal="center"/>
    </xf>
    <xf numFmtId="17" fontId="2" fillId="0" borderId="49" applyAlignment="1" applyProtection="1" pivotButton="0" quotePrefix="0" xfId="0">
      <alignment horizontal="center" vertical="center"/>
      <protection locked="0" hidden="0"/>
    </xf>
    <xf numFmtId="0" fontId="2" fillId="0" borderId="71" applyAlignment="1" applyProtection="1" pivotButton="0" quotePrefix="0" xfId="0">
      <alignment horizontal="center" vertical="center"/>
      <protection locked="0" hidden="0"/>
    </xf>
    <xf numFmtId="0" fontId="0" fillId="0" borderId="71" applyAlignment="1" applyProtection="1" pivotButton="0" quotePrefix="0" xfId="0">
      <alignment vertical="center"/>
      <protection locked="0" hidden="0"/>
    </xf>
    <xf numFmtId="171" fontId="2" fillId="0" borderId="71" applyAlignment="1" applyProtection="1" pivotButton="0" quotePrefix="0" xfId="0">
      <alignment horizontal="center" vertical="center"/>
      <protection locked="0" hidden="0"/>
    </xf>
    <xf numFmtId="171" fontId="0" fillId="0" borderId="50" applyAlignment="1" applyProtection="1" pivotButton="0" quotePrefix="0" xfId="0">
      <alignment vertical="center"/>
      <protection locked="0" hidden="0"/>
    </xf>
    <xf numFmtId="0" fontId="38" fillId="18" borderId="0" applyAlignment="1" applyProtection="1" pivotButton="0" quotePrefix="0" xfId="0">
      <alignment horizontal="center" vertical="center"/>
      <protection locked="1" hidden="1"/>
    </xf>
    <xf numFmtId="0" fontId="38" fillId="18" borderId="19" applyAlignment="1" applyProtection="1" pivotButton="0" quotePrefix="0" xfId="0">
      <alignment horizontal="center" vertical="center"/>
      <protection locked="1" hidden="1"/>
    </xf>
    <xf numFmtId="0" fontId="1" fillId="22" borderId="68" applyAlignment="1" applyProtection="1" pivotButton="0" quotePrefix="0" xfId="0">
      <alignment horizontal="center" vertical="center"/>
      <protection locked="1" hidden="1"/>
    </xf>
    <xf numFmtId="0" fontId="1" fillId="22" borderId="72" applyAlignment="1" applyProtection="1" pivotButton="0" quotePrefix="0" xfId="0">
      <alignment horizontal="center" vertical="center"/>
      <protection locked="1" hidden="1"/>
    </xf>
    <xf numFmtId="0" fontId="0" fillId="0" borderId="0" applyAlignment="1" pivotButton="0" quotePrefix="0" xfId="0">
      <alignment vertical="center"/>
    </xf>
    <xf numFmtId="0" fontId="6" fillId="19" borderId="35" applyAlignment="1" applyProtection="1" pivotButton="0" quotePrefix="0" xfId="0">
      <alignment horizontal="center" vertical="center" shrinkToFit="1"/>
      <protection locked="0" hidden="0"/>
    </xf>
    <xf numFmtId="0" fontId="0" fillId="0" borderId="40" applyAlignment="1" applyProtection="1" pivotButton="0" quotePrefix="0" xfId="0">
      <alignment vertical="center" shrinkToFit="1"/>
      <protection locked="0" hidden="0"/>
    </xf>
    <xf numFmtId="0" fontId="8" fillId="21" borderId="35" applyAlignment="1" applyProtection="1" pivotButton="0" quotePrefix="1" xfId="0">
      <alignment horizontal="center" vertical="center"/>
      <protection locked="1" hidden="1"/>
    </xf>
    <xf numFmtId="0" fontId="0" fillId="0" borderId="40" applyAlignment="1" pivotButton="0" quotePrefix="0" xfId="0">
      <alignment vertical="center"/>
    </xf>
    <xf numFmtId="0" fontId="2" fillId="22" borderId="10" applyAlignment="1" applyProtection="1" pivotButton="0" quotePrefix="0" xfId="0">
      <alignment horizontal="center" vertical="center" wrapText="1"/>
      <protection locked="0" hidden="0"/>
    </xf>
    <xf numFmtId="0" fontId="0" fillId="22" borderId="10" applyAlignment="1" applyProtection="1" pivotButton="0" quotePrefix="0" xfId="0">
      <alignment vertical="center" wrapText="1"/>
      <protection locked="0" hidden="0"/>
    </xf>
    <xf numFmtId="0" fontId="0" fillId="22" borderId="35" applyAlignment="1" applyProtection="1" pivotButton="0" quotePrefix="0" xfId="0">
      <alignment horizontal="center" vertical="center" wrapText="1"/>
      <protection locked="0" hidden="0"/>
    </xf>
    <xf numFmtId="0" fontId="0" fillId="22" borderId="40" applyAlignment="1" applyProtection="1" pivotButton="0" quotePrefix="0" xfId="0">
      <alignment horizontal="center" vertical="center" wrapText="1"/>
      <protection locked="0" hidden="0"/>
    </xf>
    <xf numFmtId="0" fontId="1" fillId="19" borderId="68" applyAlignment="1" applyProtection="1" pivotButton="0" quotePrefix="0" xfId="0">
      <alignment horizontal="center" vertical="center"/>
      <protection locked="0" hidden="0"/>
    </xf>
    <xf numFmtId="0" fontId="0" fillId="0" borderId="69" applyAlignment="1" applyProtection="1" pivotButton="0" quotePrefix="0" xfId="0">
      <alignment horizontal="center" vertical="center"/>
      <protection locked="0" hidden="0"/>
    </xf>
    <xf numFmtId="0" fontId="50" fillId="19" borderId="35" applyAlignment="1" applyProtection="1" pivotButton="0" quotePrefix="0" xfId="0">
      <alignment horizontal="center" vertical="center"/>
      <protection locked="0" hidden="0"/>
    </xf>
    <xf numFmtId="0" fontId="51" fillId="0" borderId="40" applyAlignment="1" applyProtection="1" pivotButton="0" quotePrefix="0" xfId="0">
      <alignment vertical="center"/>
      <protection locked="0" hidden="0"/>
    </xf>
    <xf numFmtId="0" fontId="0" fillId="20" borderId="35" applyAlignment="1" applyProtection="1" pivotButton="0" quotePrefix="0" xfId="0">
      <alignment horizontal="center" vertical="center"/>
      <protection locked="0" hidden="0"/>
    </xf>
    <xf numFmtId="0" fontId="0" fillId="0" borderId="40" applyAlignment="1" applyProtection="1" pivotButton="0" quotePrefix="0" xfId="0">
      <alignment vertical="center"/>
      <protection locked="0" hidden="0"/>
    </xf>
    <xf numFmtId="0" fontId="2" fillId="0" borderId="12" applyAlignment="1" applyProtection="1" pivotButton="0" quotePrefix="0" xfId="0">
      <alignment horizontal="center" vertical="center"/>
      <protection locked="0" hidden="0"/>
    </xf>
    <xf numFmtId="0" fontId="0" fillId="0" borderId="13" applyAlignment="1" applyProtection="1" pivotButton="0" quotePrefix="0" xfId="0">
      <alignment horizontal="center" vertical="center"/>
      <protection locked="0" hidden="0"/>
    </xf>
    <xf numFmtId="17" fontId="2" fillId="0" borderId="13" applyAlignment="1" applyProtection="1" pivotButton="0" quotePrefix="0" xfId="0">
      <alignment horizontal="center" vertical="center"/>
      <protection locked="0" hidden="0"/>
    </xf>
    <xf numFmtId="0" fontId="0" fillId="0" borderId="13" applyAlignment="1" applyProtection="1" pivotButton="0" quotePrefix="0" xfId="0">
      <alignment vertical="center"/>
      <protection locked="0" hidden="0"/>
    </xf>
    <xf numFmtId="0" fontId="2" fillId="0" borderId="13" applyAlignment="1" applyProtection="1" pivotButton="0" quotePrefix="0" xfId="0">
      <alignment horizontal="center" vertical="center"/>
      <protection locked="0" hidden="0"/>
    </xf>
    <xf numFmtId="172" fontId="2" fillId="0" borderId="13" applyAlignment="1" applyProtection="1" pivotButton="0" quotePrefix="0" xfId="0">
      <alignment horizontal="center" vertical="center"/>
      <protection locked="0" hidden="0"/>
    </xf>
    <xf numFmtId="0" fontId="0" fillId="0" borderId="14" applyAlignment="1" applyProtection="1" pivotButton="0" quotePrefix="0" xfId="0">
      <alignment horizontal="center" vertical="center"/>
      <protection locked="0" hidden="0"/>
    </xf>
    <xf numFmtId="0" fontId="0" fillId="0" borderId="27" applyAlignment="1" applyProtection="1" pivotButton="0" quotePrefix="0" xfId="0">
      <alignment horizontal="center" vertical="center"/>
      <protection locked="0" hidden="0"/>
    </xf>
    <xf numFmtId="0" fontId="0" fillId="0" borderId="25" applyAlignment="1" applyProtection="1" pivotButton="0" quotePrefix="0" xfId="0">
      <alignment horizontal="center" vertical="center"/>
      <protection locked="0" hidden="0"/>
    </xf>
    <xf numFmtId="17" fontId="2" fillId="0" borderId="25" applyAlignment="1" applyProtection="1" pivotButton="0" quotePrefix="0" xfId="0">
      <alignment horizontal="center" vertical="center"/>
      <protection locked="0" hidden="0"/>
    </xf>
    <xf numFmtId="17" fontId="0" fillId="0" borderId="25" applyAlignment="1" applyProtection="1" pivotButton="0" quotePrefix="0" xfId="0">
      <alignment horizontal="center" vertical="center"/>
      <protection locked="0" hidden="0"/>
    </xf>
    <xf numFmtId="0" fontId="0" fillId="0" borderId="25" applyAlignment="1" applyProtection="1" pivotButton="0" quotePrefix="0" xfId="0">
      <alignment vertical="center"/>
      <protection locked="0" hidden="0"/>
    </xf>
    <xf numFmtId="0" fontId="2" fillId="0" borderId="25" applyAlignment="1" applyProtection="1" pivotButton="0" quotePrefix="0" xfId="0">
      <alignment horizontal="center" vertical="center"/>
      <protection locked="0" hidden="0"/>
    </xf>
    <xf numFmtId="172" fontId="2" fillId="0" borderId="25" applyAlignment="1" applyProtection="1" pivotButton="0" quotePrefix="0" xfId="0">
      <alignment horizontal="center" vertical="center"/>
      <protection locked="0" hidden="0"/>
    </xf>
    <xf numFmtId="0" fontId="0" fillId="0" borderId="28" applyAlignment="1" applyProtection="1" pivotButton="0" quotePrefix="0" xfId="0">
      <alignment horizontal="center" vertical="center"/>
      <protection locked="0" hidden="0"/>
    </xf>
    <xf numFmtId="0" fontId="2" fillId="0" borderId="29" applyAlignment="1" applyProtection="1" pivotButton="0" quotePrefix="0" xfId="0">
      <alignment horizontal="center" vertical="center"/>
      <protection locked="0" hidden="0"/>
    </xf>
    <xf numFmtId="0" fontId="0" fillId="0" borderId="26" applyAlignment="1" applyProtection="1" pivotButton="0" quotePrefix="0" xfId="0">
      <alignment horizontal="center" vertical="center"/>
      <protection locked="0" hidden="0"/>
    </xf>
    <xf numFmtId="17" fontId="2" fillId="0" borderId="26" applyAlignment="1" applyProtection="1" pivotButton="0" quotePrefix="0" xfId="0">
      <alignment horizontal="center" vertical="center"/>
      <protection locked="0" hidden="0"/>
    </xf>
    <xf numFmtId="0" fontId="0" fillId="0" borderId="26" applyAlignment="1" applyProtection="1" pivotButton="0" quotePrefix="0" xfId="0">
      <alignment vertical="center"/>
      <protection locked="0" hidden="0"/>
    </xf>
    <xf numFmtId="0" fontId="2" fillId="0" borderId="26" applyAlignment="1" applyProtection="1" pivotButton="0" quotePrefix="0" xfId="0">
      <alignment horizontal="center" vertical="center"/>
      <protection locked="0" hidden="0"/>
    </xf>
    <xf numFmtId="172" fontId="2" fillId="0" borderId="26" applyAlignment="1" applyProtection="1" pivotButton="0" quotePrefix="0" xfId="0">
      <alignment horizontal="center" vertical="center"/>
      <protection locked="0" hidden="0"/>
    </xf>
    <xf numFmtId="0" fontId="0" fillId="0" borderId="30" applyAlignment="1" applyProtection="1" pivotButton="0" quotePrefix="0" xfId="0">
      <alignment horizontal="center" vertical="center"/>
      <protection locked="0" hidden="0"/>
    </xf>
    <xf numFmtId="0" fontId="0" fillId="0" borderId="0" applyAlignment="1" applyProtection="1" pivotButton="0" quotePrefix="0" xfId="0">
      <alignment vertical="center"/>
      <protection locked="1" hidden="1"/>
    </xf>
    <xf numFmtId="0" fontId="0" fillId="18" borderId="0" applyAlignment="1" applyProtection="1" pivotButton="0" quotePrefix="0" xfId="0">
      <alignment horizontal="center" vertical="center"/>
      <protection locked="1" hidden="1"/>
    </xf>
    <xf numFmtId="0" fontId="0" fillId="18" borderId="65" applyAlignment="1" applyProtection="1" pivotButton="0" quotePrefix="0" xfId="0">
      <alignment horizontal="center" vertical="center"/>
      <protection locked="1" hidden="1"/>
    </xf>
    <xf numFmtId="0" fontId="0" fillId="0" borderId="65" applyAlignment="1" pivotButton="0" quotePrefix="0" xfId="0">
      <alignment vertical="center"/>
    </xf>
    <xf numFmtId="0" fontId="1" fillId="22" borderId="73" applyAlignment="1" applyProtection="1" pivotButton="0" quotePrefix="0" xfId="0">
      <alignment horizontal="center" vertical="center"/>
      <protection locked="1" hidden="1"/>
    </xf>
    <xf numFmtId="0" fontId="1" fillId="22" borderId="69" applyAlignment="1" applyProtection="1" pivotButton="0" quotePrefix="0" xfId="0">
      <alignment horizontal="center" vertical="center"/>
      <protection locked="1" hidden="1"/>
    </xf>
    <xf numFmtId="0" fontId="1" fillId="22" borderId="65" applyAlignment="1" applyProtection="1" pivotButton="0" quotePrefix="0" xfId="0">
      <alignment horizontal="center" vertical="center"/>
      <protection locked="1" hidden="1"/>
    </xf>
    <xf numFmtId="0" fontId="1" fillId="22" borderId="74" applyAlignment="1" applyProtection="1" pivotButton="0" quotePrefix="0" xfId="0">
      <alignment horizontal="center" vertical="center"/>
      <protection locked="1" hidden="1"/>
    </xf>
    <xf numFmtId="0" fontId="0" fillId="22" borderId="35" applyAlignment="1" applyProtection="1" pivotButton="0" quotePrefix="0" xfId="0">
      <alignment horizontal="center" vertical="center"/>
      <protection locked="1" hidden="1"/>
    </xf>
    <xf numFmtId="0" fontId="0" fillId="0" borderId="40" applyAlignment="1" pivotButton="0" quotePrefix="0" xfId="0">
      <alignment horizontal="center" vertical="center"/>
    </xf>
    <xf numFmtId="0" fontId="0" fillId="22" borderId="35" applyAlignment="1" applyProtection="1" pivotButton="0" quotePrefix="0" xfId="0">
      <alignment horizontal="center" vertical="center" wrapText="1"/>
      <protection locked="1" hidden="1"/>
    </xf>
    <xf numFmtId="0" fontId="0" fillId="0" borderId="40" applyAlignment="1" pivotButton="0" quotePrefix="0" xfId="0">
      <alignment horizontal="center" vertical="center" wrapText="1"/>
    </xf>
    <xf numFmtId="0" fontId="2" fillId="20" borderId="35" applyAlignment="1" applyProtection="1" pivotButton="0" quotePrefix="0" xfId="0">
      <alignment horizontal="center" vertical="center"/>
      <protection locked="1" hidden="1"/>
    </xf>
    <xf numFmtId="0" fontId="52" fillId="18" borderId="45" applyAlignment="1" applyProtection="1" pivotButton="0" quotePrefix="0" xfId="0">
      <alignment horizontal="center" vertical="center"/>
      <protection locked="1" hidden="1"/>
    </xf>
    <xf numFmtId="0" fontId="52" fillId="18" borderId="46" applyAlignment="1" applyProtection="1" pivotButton="0" quotePrefix="0" xfId="0">
      <alignment horizontal="center" vertical="center"/>
      <protection locked="1" hidden="1"/>
    </xf>
    <xf numFmtId="0" fontId="2" fillId="22" borderId="35" applyAlignment="1" applyProtection="1" pivotButton="0" quotePrefix="0" xfId="0">
      <alignment horizontal="center" vertical="center" wrapText="1"/>
      <protection locked="0" hidden="0"/>
    </xf>
    <xf numFmtId="0" fontId="1" fillId="19" borderId="35" applyAlignment="1" applyProtection="1" pivotButton="0" quotePrefix="0" xfId="0">
      <alignment horizontal="center" vertical="center"/>
      <protection locked="0" hidden="0"/>
    </xf>
    <xf numFmtId="0" fontId="1" fillId="19" borderId="4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1" hidden="1"/>
    </xf>
    <xf numFmtId="167" fontId="45" fillId="0" borderId="0" applyAlignment="1" applyProtection="1" pivotButton="0" quotePrefix="0" xfId="0">
      <alignment horizontal="left" vertical="center"/>
      <protection locked="1" hidden="1"/>
    </xf>
    <xf numFmtId="167" fontId="11" fillId="0" borderId="0" applyAlignment="1" applyProtection="1" pivotButton="0" quotePrefix="0" xfId="0">
      <alignment vertical="center"/>
      <protection locked="0" hidden="0"/>
    </xf>
    <xf numFmtId="167" fontId="11" fillId="0" borderId="0" applyAlignment="1" applyProtection="1" pivotButton="0" quotePrefix="0" xfId="0">
      <alignment horizontal="center" vertical="center"/>
      <protection locked="0" hidden="0"/>
    </xf>
    <xf numFmtId="167" fontId="45" fillId="0" borderId="0" applyAlignment="1" applyProtection="1" pivotButton="0" quotePrefix="0" xfId="0">
      <alignment horizontal="left" vertical="center"/>
      <protection locked="0" hidden="0"/>
    </xf>
    <xf numFmtId="170" fontId="39" fillId="0" borderId="26" applyAlignment="1" applyProtection="1" pivotButton="0" quotePrefix="0" xfId="37">
      <alignment horizontal="center" vertical="center"/>
      <protection locked="0" hidden="0"/>
    </xf>
    <xf numFmtId="170" fontId="39" fillId="0" borderId="0" applyAlignment="1" applyProtection="1" pivotButton="0" quotePrefix="0" xfId="37">
      <alignment vertical="center"/>
      <protection locked="0" hidden="0"/>
    </xf>
    <xf numFmtId="164" fontId="2" fillId="0" borderId="0" applyProtection="1" pivotButton="0" quotePrefix="0" xfId="0">
      <protection locked="0" hidden="0"/>
    </xf>
    <xf numFmtId="164" fontId="2" fillId="0" borderId="0" pivotButton="0" quotePrefix="0" xfId="0"/>
    <xf numFmtId="0" fontId="55" fillId="0" borderId="10" applyAlignment="1" applyProtection="1" pivotButton="0" quotePrefix="0" xfId="0">
      <alignment horizontal="center" vertical="center"/>
      <protection locked="0" hidden="0"/>
    </xf>
    <xf numFmtId="0" fontId="0" fillId="0" borderId="67" applyProtection="1" pivotButton="0" quotePrefix="0" xfId="0">
      <protection locked="0" hidden="0"/>
    </xf>
    <xf numFmtId="0" fontId="0" fillId="0" borderId="66" applyProtection="1" pivotButton="0" quotePrefix="0" xfId="0">
      <protection locked="0" hidden="0"/>
    </xf>
    <xf numFmtId="14" fontId="2" fillId="0" borderId="10" applyAlignment="1" applyProtection="1" pivotButton="0" quotePrefix="0" xfId="0">
      <alignment horizontal="center" vertical="center"/>
      <protection locked="0" hidden="0"/>
    </xf>
    <xf numFmtId="0" fontId="12" fillId="0" borderId="10" applyAlignment="1" applyProtection="1" pivotButton="0" quotePrefix="0" xfId="0">
      <alignment horizontal="center" vertical="center"/>
      <protection locked="0" hidden="0"/>
    </xf>
    <xf numFmtId="0" fontId="54" fillId="0" borderId="10" applyAlignment="1" applyProtection="1" pivotButton="0" quotePrefix="0" xfId="0">
      <alignment horizontal="center" vertical="center"/>
      <protection locked="1" hidden="1"/>
    </xf>
    <xf numFmtId="0" fontId="0" fillId="0" borderId="67" applyProtection="1" pivotButton="0" quotePrefix="0" xfId="0">
      <protection locked="1" hidden="1"/>
    </xf>
    <xf numFmtId="0" fontId="0" fillId="0" borderId="66" applyProtection="1" pivotButton="0" quotePrefix="0" xfId="0">
      <protection locked="1" hidden="1"/>
    </xf>
    <xf numFmtId="0" fontId="1" fillId="28" borderId="10" applyAlignment="1" applyProtection="1" pivotButton="0" quotePrefix="0" xfId="0">
      <alignment horizontal="center" vertical="center"/>
      <protection locked="1" hidden="1"/>
    </xf>
    <xf numFmtId="0" fontId="57" fillId="27" borderId="10" applyAlignment="1" applyProtection="1" pivotButton="0" quotePrefix="0" xfId="0">
      <alignment horizontal="center" vertical="center"/>
      <protection locked="1" hidden="1"/>
    </xf>
    <xf numFmtId="165" fontId="2" fillId="0" borderId="12" applyAlignment="1" applyProtection="1" pivotButton="0" quotePrefix="0" xfId="37">
      <alignment horizontal="center" vertical="center"/>
      <protection locked="0" hidden="0"/>
    </xf>
    <xf numFmtId="165" fontId="2" fillId="0" borderId="13" applyAlignment="1" applyProtection="1" pivotButton="0" quotePrefix="0" xfId="37">
      <alignment horizontal="center" vertical="center"/>
      <protection locked="0" hidden="0"/>
    </xf>
    <xf numFmtId="165" fontId="2" fillId="0" borderId="14" applyAlignment="1" applyProtection="1" pivotButton="0" quotePrefix="0" xfId="37">
      <alignment horizontal="center" vertical="center"/>
      <protection locked="0" hidden="0"/>
    </xf>
    <xf numFmtId="165" fontId="43" fillId="0" borderId="12" applyAlignment="1" applyProtection="1" pivotButton="0" quotePrefix="0" xfId="37">
      <alignment horizontal="center" vertical="center"/>
      <protection locked="0" hidden="0"/>
    </xf>
    <xf numFmtId="165" fontId="63" fillId="0" borderId="12" applyAlignment="1" applyProtection="1" pivotButton="0" quotePrefix="0" xfId="37">
      <alignment horizontal="center" vertical="center"/>
      <protection locked="0" hidden="0"/>
    </xf>
    <xf numFmtId="165" fontId="37" fillId="0" borderId="12" applyAlignment="1" applyProtection="1" pivotButton="0" quotePrefix="0" xfId="37">
      <alignment horizontal="center" vertical="center"/>
      <protection locked="0" hidden="0"/>
    </xf>
    <xf numFmtId="0" fontId="0" fillId="0" borderId="56" applyProtection="1" pivotButton="0" quotePrefix="0" xfId="0">
      <protection locked="0" hidden="0"/>
    </xf>
    <xf numFmtId="0" fontId="58" fillId="27" borderId="10" applyAlignment="1" applyProtection="1" pivotButton="0" quotePrefix="0" xfId="0">
      <alignment horizontal="center" vertical="center"/>
      <protection locked="1" hidden="1"/>
    </xf>
    <xf numFmtId="0" fontId="58" fillId="27" borderId="10" applyAlignment="1" applyProtection="1" pivotButton="0" quotePrefix="0" xfId="0">
      <alignment horizontal="center" vertical="center"/>
      <protection locked="0" hidden="0"/>
    </xf>
    <xf numFmtId="0" fontId="2" fillId="0" borderId="10" applyAlignment="1" applyProtection="1" pivotButton="0" quotePrefix="0" xfId="0">
      <alignment horizontal="left" vertical="center"/>
      <protection locked="0" hidden="0"/>
    </xf>
    <xf numFmtId="0" fontId="0" fillId="0" borderId="10" applyAlignment="1" applyProtection="1" pivotButton="0" quotePrefix="0" xfId="0">
      <alignment horizontal="center" vertical="center"/>
      <protection locked="0" hidden="0"/>
    </xf>
    <xf numFmtId="168" fontId="2" fillId="0" borderId="0" applyAlignment="1" applyProtection="1" pivotButton="0" quotePrefix="0" xfId="0">
      <alignment horizontal="center" vertical="center"/>
      <protection locked="1" hidden="1"/>
    </xf>
    <xf numFmtId="169" fontId="2" fillId="0" borderId="10" applyAlignment="1" applyProtection="1" pivotButton="0" quotePrefix="0" xfId="0">
      <alignment horizontal="center" vertical="center"/>
      <protection locked="0" hidden="0"/>
    </xf>
    <xf numFmtId="169" fontId="2" fillId="0" borderId="0" applyAlignment="1" applyProtection="1" pivotButton="0" quotePrefix="0" xfId="0">
      <alignment horizontal="center" vertical="center"/>
      <protection locked="0" hidden="0"/>
    </xf>
    <xf numFmtId="0" fontId="52" fillId="18" borderId="76" applyAlignment="1" applyProtection="1" pivotButton="0" quotePrefix="0" xfId="37">
      <alignment horizontal="center" vertical="center"/>
      <protection locked="1" hidden="1"/>
    </xf>
    <xf numFmtId="0" fontId="0" fillId="0" borderId="19" applyProtection="1" pivotButton="0" quotePrefix="0" xfId="0">
      <protection locked="1" hidden="1"/>
    </xf>
    <xf numFmtId="0" fontId="2" fillId="0" borderId="10" applyAlignment="1" applyProtection="1" pivotButton="0" quotePrefix="0" xfId="37">
      <alignment horizontal="center" vertical="center"/>
      <protection locked="0" hidden="0"/>
    </xf>
    <xf numFmtId="167" fontId="2" fillId="0" borderId="10" applyAlignment="1" applyProtection="1" pivotButton="0" quotePrefix="0" xfId="37">
      <alignment horizontal="center" vertical="center"/>
      <protection locked="0" hidden="0"/>
    </xf>
    <xf numFmtId="0" fontId="12" fillId="0" borderId="10" applyAlignment="1" applyProtection="1" pivotButton="0" quotePrefix="0" xfId="37">
      <alignment horizontal="center" vertical="center"/>
      <protection locked="0" hidden="0"/>
    </xf>
    <xf numFmtId="0" fontId="1" fillId="22" borderId="10" applyAlignment="1" applyProtection="1" pivotButton="0" quotePrefix="0" xfId="37">
      <alignment horizontal="center" vertical="center"/>
      <protection locked="1" hidden="1"/>
    </xf>
    <xf numFmtId="0" fontId="1" fillId="19" borderId="31" applyAlignment="1" applyProtection="1" pivotButton="0" quotePrefix="0" xfId="37">
      <alignment horizontal="center" vertical="center"/>
      <protection locked="0" hidden="0"/>
    </xf>
    <xf numFmtId="0" fontId="50" fillId="19" borderId="10" applyAlignment="1" applyProtection="1" pivotButton="0" quotePrefix="0" xfId="37">
      <alignment horizontal="center" vertical="center"/>
      <protection locked="0" hidden="0"/>
    </xf>
    <xf numFmtId="0" fontId="2" fillId="20" borderId="10" applyAlignment="1" applyProtection="1" pivotButton="0" quotePrefix="0" xfId="37">
      <alignment horizontal="center" vertical="center"/>
      <protection locked="0" hidden="0"/>
    </xf>
    <xf numFmtId="0" fontId="6" fillId="19" borderId="10" applyAlignment="1" applyProtection="1" pivotButton="0" quotePrefix="0" xfId="37">
      <alignment horizontal="center" vertical="center" shrinkToFit="1"/>
      <protection locked="0" hidden="0"/>
    </xf>
    <xf numFmtId="0" fontId="8" fillId="21" borderId="10" applyAlignment="1" applyProtection="1" pivotButton="0" quotePrefix="1" xfId="37">
      <alignment horizontal="center" vertical="center"/>
      <protection locked="1" hidden="1"/>
    </xf>
    <xf numFmtId="0" fontId="0" fillId="0" borderId="40" applyProtection="1" pivotButton="0" quotePrefix="0" xfId="0">
      <protection locked="0" hidden="0"/>
    </xf>
    <xf numFmtId="0" fontId="0" fillId="0" borderId="69" applyProtection="1" pivotButton="0" quotePrefix="0" xfId="0">
      <protection locked="0" hidden="0"/>
    </xf>
    <xf numFmtId="0" fontId="0" fillId="0" borderId="40" applyProtection="1" pivotButton="0" quotePrefix="0" xfId="0">
      <protection locked="1" hidden="1"/>
    </xf>
    <xf numFmtId="164" fontId="2" fillId="18" borderId="0" applyAlignment="1" applyProtection="1" pivotButton="0" quotePrefix="0" xfId="37">
      <alignment horizontal="center" vertical="center"/>
      <protection locked="1" hidden="1"/>
    </xf>
    <xf numFmtId="0" fontId="0" fillId="0" borderId="65" applyProtection="1" pivotButton="0" quotePrefix="0" xfId="0">
      <protection locked="1" hidden="1"/>
    </xf>
    <xf numFmtId="0" fontId="2" fillId="0" borderId="27" applyAlignment="1" applyProtection="1" pivotButton="0" quotePrefix="0" xfId="37">
      <alignment horizontal="center" vertical="center"/>
      <protection locked="0" hidden="0"/>
    </xf>
    <xf numFmtId="0" fontId="0" fillId="0" borderId="60" applyProtection="1" pivotButton="0" quotePrefix="0" xfId="0">
      <protection locked="0" hidden="0"/>
    </xf>
    <xf numFmtId="17" fontId="2" fillId="0" borderId="25" applyAlignment="1" applyProtection="1" pivotButton="0" quotePrefix="0" xfId="37">
      <alignment horizontal="center" vertical="center"/>
      <protection locked="0" hidden="0"/>
    </xf>
    <xf numFmtId="0" fontId="0" fillId="0" borderId="62" applyProtection="1" pivotButton="0" quotePrefix="0" xfId="0">
      <protection locked="0" hidden="0"/>
    </xf>
    <xf numFmtId="0" fontId="2" fillId="0" borderId="25" applyAlignment="1" applyProtection="1" pivotButton="0" quotePrefix="0" xfId="37">
      <alignment horizontal="center" vertical="center"/>
      <protection locked="0" hidden="0"/>
    </xf>
    <xf numFmtId="170" fontId="2" fillId="0" borderId="28" applyAlignment="1" applyProtection="1" pivotButton="0" quotePrefix="0" xfId="37">
      <alignment horizontal="center" vertical="center"/>
      <protection locked="0" hidden="0"/>
    </xf>
    <xf numFmtId="0" fontId="2" fillId="0" borderId="29" applyAlignment="1" applyProtection="1" pivotButton="0" quotePrefix="0" xfId="37">
      <alignment horizontal="center" vertical="center"/>
      <protection locked="0" hidden="0"/>
    </xf>
    <xf numFmtId="0" fontId="0" fillId="0" borderId="63" applyProtection="1" pivotButton="0" quotePrefix="0" xfId="0">
      <protection locked="0" hidden="0"/>
    </xf>
    <xf numFmtId="17" fontId="2" fillId="0" borderId="26" applyAlignment="1" applyProtection="1" pivotButton="0" quotePrefix="0" xfId="37">
      <alignment horizontal="center" vertical="center"/>
      <protection locked="0" hidden="0"/>
    </xf>
    <xf numFmtId="0" fontId="0" fillId="0" borderId="64" applyProtection="1" pivotButton="0" quotePrefix="0" xfId="0">
      <protection locked="0" hidden="0"/>
    </xf>
    <xf numFmtId="0" fontId="2" fillId="0" borderId="26" applyAlignment="1" applyProtection="1" pivotButton="0" quotePrefix="0" xfId="37">
      <alignment horizontal="center" vertical="center"/>
      <protection locked="0" hidden="0"/>
    </xf>
    <xf numFmtId="170" fontId="2" fillId="0" borderId="30" applyAlignment="1" applyProtection="1" pivotButton="0" quotePrefix="0" xfId="37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0" fontId="2" fillId="0" borderId="12" applyAlignment="1" applyProtection="1" pivotButton="0" quotePrefix="0" xfId="37">
      <alignment horizontal="center" vertical="center"/>
      <protection locked="0" hidden="0"/>
    </xf>
    <xf numFmtId="0" fontId="0" fillId="0" borderId="39" applyProtection="1" pivotButton="0" quotePrefix="0" xfId="0">
      <protection locked="0" hidden="0"/>
    </xf>
    <xf numFmtId="17" fontId="2" fillId="0" borderId="13" applyAlignment="1" applyProtection="1" pivotButton="0" quotePrefix="0" xfId="37">
      <alignment horizontal="center" vertical="center"/>
      <protection locked="0" hidden="0"/>
    </xf>
    <xf numFmtId="0" fontId="0" fillId="0" borderId="59" applyProtection="1" pivotButton="0" quotePrefix="0" xfId="0">
      <protection locked="0" hidden="0"/>
    </xf>
    <xf numFmtId="0" fontId="2" fillId="0" borderId="13" applyAlignment="1" applyProtection="1" pivotButton="0" quotePrefix="0" xfId="37">
      <alignment horizontal="center" vertical="center"/>
      <protection locked="0" hidden="0"/>
    </xf>
    <xf numFmtId="170" fontId="2" fillId="0" borderId="14" applyAlignment="1" applyProtection="1" pivotButton="0" quotePrefix="0" xfId="37">
      <alignment horizontal="center" vertical="center"/>
      <protection locked="0" hidden="0"/>
    </xf>
    <xf numFmtId="0" fontId="0" fillId="0" borderId="54" applyProtection="1" pivotButton="0" quotePrefix="0" xfId="0">
      <protection locked="0" hidden="0"/>
    </xf>
    <xf numFmtId="0" fontId="52" fillId="18" borderId="76" applyAlignment="1" applyProtection="1" pivotButton="0" quotePrefix="0" xfId="0">
      <alignment horizontal="center" vertical="center"/>
      <protection locked="1" hidden="1"/>
    </xf>
    <xf numFmtId="167" fontId="2" fillId="0" borderId="10" applyAlignment="1" applyProtection="1" pivotButton="0" quotePrefix="0" xfId="0">
      <alignment horizontal="center" vertical="center"/>
      <protection locked="0" hidden="0"/>
    </xf>
    <xf numFmtId="0" fontId="2" fillId="25" borderId="50" applyAlignment="1" applyProtection="1" pivotButton="0" quotePrefix="0" xfId="0">
      <alignment horizontal="center" vertical="center"/>
      <protection locked="1" hidden="1"/>
    </xf>
    <xf numFmtId="0" fontId="1" fillId="25" borderId="23" applyAlignment="1" applyProtection="1" pivotButton="0" quotePrefix="0" xfId="0">
      <alignment horizontal="center" vertical="center"/>
      <protection locked="1" hidden="1"/>
    </xf>
    <xf numFmtId="0" fontId="0" fillId="0" borderId="62" applyProtection="1" pivotButton="0" quotePrefix="0" xfId="0">
      <protection locked="1" hidden="1"/>
    </xf>
    <xf numFmtId="0" fontId="0" fillId="0" borderId="56" applyProtection="1" pivotButton="0" quotePrefix="0" xfId="0">
      <protection locked="1" hidden="1"/>
    </xf>
    <xf numFmtId="0" fontId="0" fillId="0" borderId="70" applyProtection="1" pivotButton="0" quotePrefix="0" xfId="0">
      <protection locked="1" hidden="1"/>
    </xf>
    <xf numFmtId="164" fontId="2" fillId="25" borderId="12" applyAlignment="1" applyProtection="1" pivotButton="0" quotePrefix="0" xfId="0">
      <alignment horizontal="center" vertical="center"/>
      <protection locked="1" hidden="1"/>
    </xf>
    <xf numFmtId="164" fontId="2" fillId="25" borderId="13" applyAlignment="1" applyProtection="1" pivotButton="0" quotePrefix="0" xfId="0">
      <alignment horizontal="center" vertical="center"/>
      <protection locked="1" hidden="1"/>
    </xf>
    <xf numFmtId="164" fontId="2" fillId="25" borderId="37" applyAlignment="1" applyProtection="1" pivotButton="0" quotePrefix="0" xfId="0">
      <alignment horizontal="center" vertical="center"/>
      <protection locked="1" hidden="1"/>
    </xf>
    <xf numFmtId="164" fontId="2" fillId="25" borderId="14" applyAlignment="1" applyProtection="1" pivotButton="0" quotePrefix="0" xfId="0">
      <alignment horizontal="center" vertical="center"/>
      <protection locked="1" hidden="1"/>
    </xf>
    <xf numFmtId="164" fontId="2" fillId="0" borderId="29" applyAlignment="1" applyProtection="1" pivotButton="0" quotePrefix="0" xfId="0">
      <alignment horizontal="center" vertical="center"/>
      <protection locked="0" hidden="0"/>
    </xf>
    <xf numFmtId="164" fontId="2" fillId="0" borderId="26" applyAlignment="1" applyProtection="1" pivotButton="0" quotePrefix="0" xfId="0">
      <alignment horizontal="center" vertical="center"/>
      <protection locked="0" hidden="0"/>
    </xf>
    <xf numFmtId="164" fontId="2" fillId="0" borderId="27" applyAlignment="1" applyProtection="1" pivotButton="0" quotePrefix="0" xfId="0">
      <alignment horizontal="center" vertical="center"/>
      <protection locked="0" hidden="0"/>
    </xf>
    <xf numFmtId="164" fontId="2" fillId="0" borderId="25" applyAlignment="1" applyProtection="1" pivotButton="0" quotePrefix="0" xfId="0">
      <alignment horizontal="center" vertical="center"/>
      <protection locked="0" hidden="0"/>
    </xf>
    <xf numFmtId="164" fontId="2" fillId="0" borderId="28" applyAlignment="1" applyProtection="1" pivotButton="0" quotePrefix="0" xfId="0">
      <alignment horizontal="center" vertical="center"/>
      <protection locked="0" hidden="0"/>
    </xf>
    <xf numFmtId="164" fontId="2" fillId="0" borderId="30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164" fontId="0" fillId="18" borderId="0" applyAlignment="1" applyProtection="1" pivotButton="0" quotePrefix="0" xfId="0">
      <alignment horizontal="right" vertical="center"/>
      <protection locked="1" hidden="1"/>
    </xf>
    <xf numFmtId="169" fontId="2" fillId="0" borderId="71" applyAlignment="1" applyProtection="1" pivotButton="0" quotePrefix="0" xfId="0">
      <alignment horizontal="center" vertical="center"/>
      <protection locked="0" hidden="0"/>
    </xf>
    <xf numFmtId="164" fontId="2" fillId="25" borderId="39" applyAlignment="1" applyProtection="1" pivotButton="0" quotePrefix="0" xfId="0">
      <alignment horizontal="center" vertical="center"/>
      <protection locked="1" hidden="1"/>
    </xf>
    <xf numFmtId="164" fontId="2" fillId="18" borderId="0" applyAlignment="1" applyProtection="1" pivotButton="0" quotePrefix="0" xfId="0">
      <alignment horizontal="center" vertical="center"/>
      <protection locked="1" hidden="1"/>
    </xf>
    <xf numFmtId="167" fontId="2" fillId="0" borderId="10" applyAlignment="1" applyProtection="1" pivotButton="0" quotePrefix="0" xfId="0">
      <alignment vertical="center"/>
      <protection locked="0" hidden="0"/>
    </xf>
    <xf numFmtId="0" fontId="1" fillId="22" borderId="35" applyAlignment="1" applyProtection="1" pivotButton="0" quotePrefix="0" xfId="0">
      <alignment horizontal="center" vertical="center"/>
      <protection locked="1" hidden="1"/>
    </xf>
    <xf numFmtId="0" fontId="0" fillId="0" borderId="72" applyProtection="1" pivotButton="0" quotePrefix="0" xfId="0">
      <protection locked="1" hidden="1"/>
    </xf>
    <xf numFmtId="164" fontId="39" fillId="22" borderId="10" applyAlignment="1" applyProtection="1" pivotButton="0" quotePrefix="0" xfId="0">
      <alignment horizontal="center" vertical="center"/>
      <protection locked="1" hidden="1"/>
    </xf>
    <xf numFmtId="164" fontId="2" fillId="22" borderId="50" applyAlignment="1" applyProtection="1" pivotButton="0" quotePrefix="0" xfId="0">
      <alignment horizontal="center" vertical="center"/>
      <protection locked="1" hidden="1"/>
    </xf>
    <xf numFmtId="164" fontId="39" fillId="22" borderId="35" applyAlignment="1" applyProtection="1" pivotButton="0" quotePrefix="0" xfId="0">
      <alignment horizontal="center" vertical="center"/>
      <protection locked="1" hidden="1"/>
    </xf>
    <xf numFmtId="164" fontId="2" fillId="22" borderId="10" applyAlignment="1" applyProtection="1" pivotButton="0" quotePrefix="0" xfId="0">
      <alignment horizontal="center" vertical="center"/>
      <protection locked="1" hidden="1"/>
    </xf>
    <xf numFmtId="171" fontId="2" fillId="0" borderId="71" applyAlignment="1" applyProtection="1" pivotButton="0" quotePrefix="0" xfId="0">
      <alignment horizontal="center" vertical="center"/>
      <protection locked="0" hidden="0"/>
    </xf>
    <xf numFmtId="0" fontId="52" fillId="18" borderId="83" applyAlignment="1" applyProtection="1" pivotButton="0" quotePrefix="0" xfId="0">
      <alignment horizontal="center" vertical="center"/>
      <protection locked="1" hidden="1"/>
    </xf>
    <xf numFmtId="0" fontId="0" fillId="0" borderId="46" applyProtection="1" pivotButton="0" quotePrefix="0" xfId="0">
      <protection locked="1" hidden="1"/>
    </xf>
    <xf numFmtId="167" fontId="2" fillId="23" borderId="0" applyAlignment="1" applyProtection="1" pivotButton="0" quotePrefix="0" xfId="0">
      <alignment vertical="center"/>
      <protection locked="0" hidden="0"/>
    </xf>
    <xf numFmtId="0" fontId="0" fillId="22" borderId="10" applyAlignment="1" applyProtection="1" pivotButton="0" quotePrefix="0" xfId="0">
      <alignment horizontal="center" vertical="center"/>
      <protection locked="1" hidden="1"/>
    </xf>
    <xf numFmtId="0" fontId="0" fillId="22" borderId="10" applyAlignment="1" applyProtection="1" pivotButton="0" quotePrefix="0" xfId="0">
      <alignment horizontal="center" vertical="center" wrapText="1"/>
      <protection locked="0" hidden="0"/>
    </xf>
    <xf numFmtId="0" fontId="0" fillId="22" borderId="10" applyAlignment="1" applyProtection="1" pivotButton="0" quotePrefix="0" xfId="0">
      <alignment horizontal="center" vertical="center" wrapText="1"/>
      <protection locked="1" hidden="1"/>
    </xf>
    <xf numFmtId="0" fontId="1" fillId="22" borderId="10" applyAlignment="1" applyProtection="1" pivotButton="0" quotePrefix="0" xfId="0">
      <alignment horizontal="center" vertical="center"/>
      <protection locked="1" hidden="1"/>
    </xf>
    <xf numFmtId="0" fontId="0" fillId="0" borderId="73" applyProtection="1" pivotButton="0" quotePrefix="0" xfId="0">
      <protection locked="1" hidden="1"/>
    </xf>
    <xf numFmtId="0" fontId="2" fillId="20" borderId="10" applyAlignment="1" applyProtection="1" pivotButton="0" quotePrefix="0" xfId="0">
      <alignment horizontal="center" vertical="center"/>
      <protection locked="1" hidden="1"/>
    </xf>
    <xf numFmtId="0" fontId="0" fillId="0" borderId="69" applyProtection="1" pivotButton="0" quotePrefix="0" xfId="0">
      <protection locked="1" hidden="1"/>
    </xf>
    <xf numFmtId="0" fontId="0" fillId="0" borderId="74" applyProtection="1" pivotButton="0" quotePrefix="0" xfId="0">
      <protection locked="1" hidden="1"/>
    </xf>
    <xf numFmtId="0" fontId="1" fillId="19" borderId="31" applyAlignment="1" applyProtection="1" pivotButton="0" quotePrefix="0" xfId="0">
      <alignment horizontal="center" vertical="center"/>
      <protection locked="0" hidden="0"/>
    </xf>
    <xf numFmtId="165" fontId="0" fillId="22" borderId="27" applyAlignment="1" applyProtection="1" pivotButton="0" quotePrefix="0" xfId="0">
      <alignment horizontal="center" vertical="center"/>
      <protection locked="1" hidden="1"/>
    </xf>
    <xf numFmtId="165" fontId="0" fillId="22" borderId="25" applyAlignment="1" applyProtection="1" pivotButton="0" quotePrefix="0" xfId="0">
      <alignment horizontal="center" vertical="center"/>
      <protection locked="1" hidden="1"/>
    </xf>
    <xf numFmtId="165" fontId="2" fillId="22" borderId="28" applyAlignment="1" applyProtection="1" pivotButton="0" quotePrefix="0" xfId="0">
      <alignment horizontal="center" vertical="center"/>
      <protection locked="0" hidden="0"/>
    </xf>
    <xf numFmtId="0" fontId="50" fillId="19" borderId="10" applyAlignment="1" applyProtection="1" pivotButton="0" quotePrefix="0" xfId="0">
      <alignment horizontal="center" vertical="center"/>
      <protection locked="0" hidden="0"/>
    </xf>
    <xf numFmtId="0" fontId="0" fillId="20" borderId="10" applyAlignment="1" applyProtection="1" pivotButton="0" quotePrefix="0" xfId="0">
      <alignment horizontal="center" vertical="center"/>
      <protection locked="0" hidden="0"/>
    </xf>
    <xf numFmtId="165" fontId="2" fillId="22" borderId="32" applyAlignment="1" applyProtection="1" pivotButton="0" quotePrefix="0" xfId="0">
      <alignment horizontal="center" vertical="center"/>
      <protection locked="1" hidden="1"/>
    </xf>
    <xf numFmtId="165" fontId="2" fillId="24" borderId="33" applyAlignment="1" applyProtection="1" pivotButton="0" quotePrefix="0" xfId="0">
      <alignment horizontal="center" vertical="center"/>
      <protection locked="1" hidden="1"/>
    </xf>
    <xf numFmtId="165" fontId="2" fillId="22" borderId="33" applyAlignment="1" applyProtection="1" pivotButton="0" quotePrefix="0" xfId="0">
      <alignment horizontal="center" vertical="center"/>
      <protection locked="1" hidden="1"/>
    </xf>
    <xf numFmtId="165" fontId="2" fillId="22" borderId="34" applyAlignment="1" applyProtection="1" pivotButton="0" quotePrefix="0" xfId="0">
      <alignment horizontal="center" vertical="center"/>
      <protection locked="1" hidden="1"/>
    </xf>
    <xf numFmtId="0" fontId="6" fillId="19" borderId="10" applyAlignment="1" applyProtection="1" pivotButton="0" quotePrefix="0" xfId="0">
      <alignment horizontal="center" vertical="center" shrinkToFit="1"/>
      <protection locked="0" hidden="0"/>
    </xf>
    <xf numFmtId="0" fontId="8" fillId="21" borderId="10" applyAlignment="1" applyProtection="1" pivotButton="0" quotePrefix="1" xfId="0">
      <alignment horizontal="center" vertical="center"/>
      <protection locked="1" hidden="1"/>
    </xf>
    <xf numFmtId="165" fontId="2" fillId="0" borderId="12" applyAlignment="1" applyProtection="1" pivotButton="0" quotePrefix="0" xfId="0">
      <alignment horizontal="center" vertical="center"/>
      <protection locked="0" hidden="0"/>
    </xf>
    <xf numFmtId="165" fontId="0" fillId="0" borderId="13" applyAlignment="1" applyProtection="1" pivotButton="0" quotePrefix="0" xfId="0">
      <alignment horizontal="center" vertical="center"/>
      <protection locked="0" hidden="0"/>
    </xf>
    <xf numFmtId="165" fontId="2" fillId="0" borderId="13" applyAlignment="1" applyProtection="1" pivotButton="0" quotePrefix="0" xfId="0">
      <alignment horizontal="center" vertical="center"/>
      <protection locked="0" hidden="0"/>
    </xf>
    <xf numFmtId="165" fontId="2" fillId="0" borderId="14" applyAlignment="1" applyProtection="1" pivotButton="0" quotePrefix="0" xfId="0">
      <alignment horizontal="center" vertical="center"/>
      <protection locked="0" hidden="0"/>
    </xf>
    <xf numFmtId="0" fontId="1" fillId="19" borderId="10" applyAlignment="1" applyProtection="1" pivotButton="0" quotePrefix="0" xfId="0">
      <alignment horizontal="center" vertical="center"/>
      <protection locked="0" hidden="0"/>
    </xf>
  </cellXfs>
  <cellStyles count="45">
    <cellStyle name="Normal" xfId="0" builtinId="0"/>
    <cellStyle name="20% - Accent1" xfId="1" builtinId="30"/>
    <cellStyle name="20% - Accent2" xfId="2" builtinId="34"/>
    <cellStyle name="20% - Accent3" xfId="3" builtinId="38"/>
    <cellStyle name="20% - Accent4" xfId="4" builtinId="42"/>
    <cellStyle name="20% - Accent5" xfId="5" builtinId="46"/>
    <cellStyle name="20% - Accent6" xfId="6" builtinId="50"/>
    <cellStyle name="40% - Accent1" xfId="7" builtinId="31"/>
    <cellStyle name="40% - Accent2" xfId="8" builtinId="35"/>
    <cellStyle name="40% - Accent3" xfId="9" builtinId="39"/>
    <cellStyle name="40% - Accent4" xfId="10" builtinId="43"/>
    <cellStyle name="40% - Accent5" xfId="11" builtinId="47"/>
    <cellStyle name="40% - Accent6" xfId="12" builtinId="51"/>
    <cellStyle name="60% - Accent1" xfId="13" builtinId="32"/>
    <cellStyle name="60% - Accent2" xfId="14" builtinId="36"/>
    <cellStyle name="60% - Accent3" xfId="15" builtinId="40"/>
    <cellStyle name="60% - Accent4" xfId="16" builtinId="44"/>
    <cellStyle name="60% - Accent5" xfId="17" builtinId="48"/>
    <cellStyle name="60% - Accent6" xfId="18" builtinId="52"/>
    <cellStyle name="Accent1" xfId="19" builtinId="29"/>
    <cellStyle name="Accent2" xfId="20" builtinId="33"/>
    <cellStyle name="Accent3" xfId="21" builtinId="37"/>
    <cellStyle name="Accent4" xfId="22" builtinId="41"/>
    <cellStyle name="Accent5" xfId="23" builtinId="45"/>
    <cellStyle name="Accent6" xfId="24" builtinId="49"/>
    <cellStyle name="Bad" xfId="25" builtinId="27"/>
    <cellStyle name="Calculation" xfId="26" builtinId="22"/>
    <cellStyle name="Check Cell" xfId="27" builtinId="23"/>
    <cellStyle name="Explanatory Text" xfId="28" builtinId="53"/>
    <cellStyle name="Good" xfId="29" builtinId="26"/>
    <cellStyle name="Heading 1" xfId="30" builtinId="16"/>
    <cellStyle name="Heading 2" xfId="31" builtinId="17"/>
    <cellStyle name="Heading 3" xfId="32" builtinId="18"/>
    <cellStyle name="Heading 4" xfId="33" builtinId="19"/>
    <cellStyle name="Input" xfId="34" builtinId="20"/>
    <cellStyle name="Linked Cell" xfId="35" builtinId="24"/>
    <cellStyle name="Neutral" xfId="36" builtinId="28"/>
    <cellStyle name="Normal 2" xfId="37"/>
    <cellStyle name="Normal 2 2" xfId="38"/>
    <cellStyle name="Normal 2 2 2" xfId="39"/>
    <cellStyle name="Note" xfId="40" builtinId="10"/>
    <cellStyle name="Output" xfId="41" builtinId="21"/>
    <cellStyle name="Title" xfId="42" builtinId="15"/>
    <cellStyle name="Total" xfId="43" builtinId="25"/>
    <cellStyle name="Warning Text" xfId="44" builtinId="11"/>
  </cellStyles>
  <dxfs count="597"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lor rgb="FFFF000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/Relationships>
</file>

<file path=xl/comments/comment1.xml><?xml version="1.0" encoding="utf-8"?>
<comments xmlns="http://schemas.openxmlformats.org/spreadsheetml/2006/main">
  <authors>
    <author>Cecil Dondo</author>
  </authors>
  <commentList>
    <comment ref="L8" authorId="0" shapeId="0">
      <text>
        <t>Cecil Dondo:
'PC' ---&gt; Pressure Calibrator.</t>
      </text>
    </comment>
    <comment ref="C19" authorId="0" shapeId="0">
      <text>
        <t>Cecil Dondo:
-878 DAQ Error</t>
      </text>
    </comment>
    <comment ref="C45" authorId="0" shapeId="0">
      <text>
        <t>Transducer replaced as the old one reached peak voltage too early. Add new S/N</t>
      </text>
    </comment>
    <comment ref="L63" authorId="0" shapeId="0">
      <text>
        <t>Cecil Dondo:
'PC' ---&gt; Pressure Calibrator.</t>
      </text>
    </comment>
  </commentList>
</comments>
</file>

<file path=xl/comments/comment2.xml><?xml version="1.0" encoding="utf-8"?>
<comments xmlns="http://schemas.openxmlformats.org/spreadsheetml/2006/main">
  <authors>
    <author>Cecil Dondo</author>
  </authors>
  <commentList>
    <comment ref="L8" authorId="0" shapeId="0">
      <text>
        <t>Cecil Dondo:
'PC' ---&gt; Pressure Calibrator.</t>
      </text>
    </comment>
    <comment ref="C9" authorId="0" shapeId="0">
      <text>
        <t>Cecil Dondo:
Transducer replaced</t>
      </text>
    </comment>
    <comment ref="T9" authorId="0" shapeId="0">
      <text>
        <t>Cecil Dondo:
Updated</t>
      </text>
    </comment>
    <comment ref="C31" authorId="0" shapeId="0">
      <text>
        <t xml:space="preserve">Cecil Dondo:
Formatting
</t>
      </text>
    </comment>
    <comment ref="C33" authorId="0" shapeId="0">
      <text>
        <t>Cecil Dondo:
Formatting</t>
      </text>
    </comment>
    <comment ref="L63" authorId="0" shapeId="0">
      <text>
        <t>Cecil Dondo:
'PC' ---&gt; Pressure Calibrator.</t>
      </text>
    </comment>
  </commentList>
</comments>
</file>

<file path=xl/comments/comment3.xml><?xml version="1.0" encoding="utf-8"?>
<comments xmlns="http://schemas.openxmlformats.org/spreadsheetml/2006/main">
  <authors>
    <author>Cecil Dondo</author>
  </authors>
  <commentList>
    <comment ref="C16" authorId="0" shapeId="0">
      <text>
        <t>Cecil Dondo:
Unstable channel</t>
      </text>
    </comment>
    <comment ref="C17" authorId="0" shapeId="0">
      <text>
        <t xml:space="preserve">Cecil Dondo:
Unstable channel
</t>
      </text>
    </comment>
    <comment ref="C25" authorId="0" shapeId="0">
      <text>
        <t xml:space="preserve">Cecil Dondo:
Unstable channel
</t>
      </text>
    </comment>
    <comment ref="C45" authorId="0" shapeId="0">
      <text>
        <t>Cecil Dondo:
Unstable channel</t>
      </text>
    </comment>
    <comment ref="C46" authorId="0" shapeId="0">
      <text>
        <t>Cecil Dondo:
Unstable Channel</t>
      </text>
    </comment>
  </commentList>
</comments>
</file>

<file path=xl/comments/comment4.xml><?xml version="1.0" encoding="utf-8"?>
<comments xmlns="http://schemas.openxmlformats.org/spreadsheetml/2006/main">
  <authors>
    <author>Cecil Dondo</author>
  </authors>
  <commentList>
    <comment ref="B28" authorId="0" shapeId="0">
      <text>
        <t>Cecil Dondo:
Not working, DSG reading 4 Volts flat.</t>
      </text>
    </comment>
    <comment ref="B30" authorId="0" shapeId="0">
      <text>
        <t>Cecil Dondo:
Not working, DSG reading 4 Volts flat.</t>
      </text>
    </comment>
    <comment ref="B58" authorId="0" shapeId="0">
      <text>
        <t>Cecil Dondo:
No reading</t>
      </text>
    </comment>
    <comment ref="B60" authorId="0" shapeId="0">
      <text>
        <t>Cecil Dondo:
No reading</t>
      </text>
    </comment>
    <comment ref="B62" authorId="0" shapeId="0">
      <text>
        <t>Cecil Dondo:
No reading</t>
      </text>
    </comment>
    <comment ref="B64" authorId="0" shapeId="0">
      <text>
        <t xml:space="preserve">Cecil Dondo:
No reading
</t>
      </text>
    </comment>
    <comment ref="B66" authorId="0" shapeId="0">
      <text>
        <t>Cecil Dondo:
No reading</t>
      </text>
    </comment>
    <comment ref="B72" authorId="0" shapeId="0">
      <text>
        <t>Cecil Dondo:
Unsteady voltage</t>
      </text>
    </comment>
    <comment ref="B74" authorId="0" shapeId="0">
      <text>
        <t>Cecil Dondo:
Unsteady voltage</t>
      </text>
    </comment>
    <comment ref="B76" authorId="0" shapeId="0">
      <text>
        <t xml:space="preserve">Cecil Dondo:
Unsteady voltage
</t>
      </text>
    </comment>
    <comment ref="B78" authorId="0" shapeId="0">
      <text>
        <t>Cecil Dondo:
Unsteady voltage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P:\GED-UK\ControlledDocuments\EtQ%20SWIs\Instrumentation\SWI-22624%20-%20DSG%20Test%20Bed%20Calibration\Transmission%20Speed%20Calibration%20Sheet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Engine Speed"/>
      <sheetName val="TCOS"/>
      <sheetName val="CSOS"/>
      <sheetName val="CSOS2"/>
      <sheetName val="TOS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commentsDrawing3.vml" Id="anysvml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commentsDrawing4.vml" Id="anysvml" /></Relationships>
</file>

<file path=xl/worksheets/sheet1.xml><?xml version="1.0" encoding="utf-8"?>
<worksheet xmlns="http://schemas.openxmlformats.org/spreadsheetml/2006/main">
  <sheetPr codeName="Sheet6">
    <tabColor rgb="FF00FF00"/>
    <outlinePr summaryBelow="1" summaryRight="1"/>
    <pageSetUpPr/>
  </sheetPr>
  <dimension ref="B2:Q131"/>
  <sheetViews>
    <sheetView showGridLines="0" workbookViewId="0">
      <selection activeCell="O13" sqref="O13"/>
    </sheetView>
  </sheetViews>
  <sheetFormatPr baseColWidth="8" defaultColWidth="9.1796875" defaultRowHeight="12.5"/>
  <cols>
    <col width="4" customWidth="1" style="1" min="1" max="1"/>
    <col width="19.1796875" bestFit="1" customWidth="1" style="1" min="2" max="2"/>
    <col width="15" bestFit="1" customWidth="1" style="1" min="3" max="3"/>
    <col width="7.26953125" bestFit="1" customWidth="1" style="1" min="4" max="4"/>
    <col width="25" bestFit="1" customWidth="1" style="1" min="5" max="5"/>
    <col width="24.1796875" bestFit="1" customWidth="1" style="1" min="6" max="6"/>
    <col width="13.453125" bestFit="1" customWidth="1" style="1" min="7" max="7"/>
    <col width="9.1796875" customWidth="1" style="1" min="8" max="16384"/>
  </cols>
  <sheetData>
    <row r="2" ht="34.9" customFormat="1" customHeight="1" s="2">
      <c r="B2" s="265" t="inlineStr">
        <is>
          <t>SEC Test Bed Calibration - SWI-62090</t>
        </is>
      </c>
      <c r="C2" s="461" t="n"/>
      <c r="D2" s="461" t="n"/>
      <c r="E2" s="461" t="n"/>
      <c r="F2" s="461" t="n"/>
      <c r="G2" s="178" t="n"/>
      <c r="H2" s="383" t="n"/>
      <c r="I2" s="383" t="n"/>
      <c r="J2" s="383" t="n"/>
      <c r="K2" s="383" t="n"/>
      <c r="L2" s="383" t="n"/>
      <c r="M2" s="383" t="n"/>
      <c r="N2" s="383" t="n"/>
      <c r="O2" s="383" t="n"/>
      <c r="P2" s="383" t="n"/>
      <c r="Q2" s="383" t="n"/>
    </row>
    <row r="3" ht="20.15" customFormat="1" customHeight="1" s="2">
      <c r="B3" s="188" t="inlineStr">
        <is>
          <t xml:space="preserve">Calibration Engineer: </t>
        </is>
      </c>
      <c r="C3" s="234" t="inlineStr">
        <is>
          <t>Cecil K Dondo</t>
        </is>
      </c>
      <c r="D3" s="383" t="n"/>
      <c r="E3" s="184" t="inlineStr">
        <is>
          <t>Test Bed Number:</t>
        </is>
      </c>
      <c r="F3" s="235" t="inlineStr">
        <is>
          <t>ST2 - TMA40523 (DEVT679)</t>
        </is>
      </c>
      <c r="G3" s="179" t="n"/>
      <c r="H3" s="383" t="n"/>
      <c r="I3" s="383" t="n"/>
      <c r="J3" s="383" t="n"/>
      <c r="K3" s="383" t="n"/>
      <c r="L3" s="383" t="n"/>
      <c r="M3" s="383" t="n"/>
      <c r="N3" s="383" t="n"/>
      <c r="O3" s="383" t="n"/>
      <c r="P3" s="383" t="n"/>
      <c r="Q3" s="383" t="n"/>
    </row>
    <row r="4" ht="20.15" customFormat="1" customHeight="1" s="2">
      <c r="B4" s="189" t="inlineStr">
        <is>
          <t>Job No.</t>
        </is>
      </c>
      <c r="C4" s="190" t="n">
        <v>1</v>
      </c>
      <c r="D4" s="383" t="n"/>
      <c r="E4" s="185" t="inlineStr">
        <is>
          <t>Next Calibration Due:</t>
        </is>
      </c>
      <c r="F4" s="462">
        <f>DATE(YEAR(C9) + 1,MONTH(C9),DAY(C9))</f>
        <v/>
      </c>
      <c r="G4" s="463" t="n"/>
      <c r="H4" s="383" t="n"/>
      <c r="I4" s="383" t="n"/>
      <c r="J4" s="383" t="n"/>
      <c r="K4" s="383" t="n"/>
      <c r="L4" s="383" t="n"/>
      <c r="M4" s="383" t="n"/>
      <c r="N4" s="383" t="n"/>
      <c r="O4" s="383" t="n"/>
      <c r="P4" s="383" t="n"/>
      <c r="Q4" s="383" t="n"/>
    </row>
    <row r="5" ht="20.15" customFormat="1" customHeight="1" s="2">
      <c r="B5" s="179" t="n"/>
      <c r="C5" s="181" t="n"/>
      <c r="D5" s="464" t="n"/>
      <c r="E5" s="464" t="n"/>
      <c r="F5" s="464" t="n"/>
      <c r="G5" s="463" t="n"/>
      <c r="H5" s="383" t="n"/>
      <c r="I5" s="383" t="n"/>
      <c r="J5" s="383" t="n"/>
      <c r="K5" s="383" t="n"/>
      <c r="L5" s="383" t="n"/>
      <c r="M5" s="383" t="n"/>
      <c r="N5" s="383" t="n"/>
      <c r="O5" s="383" t="n"/>
      <c r="P5" s="383" t="n"/>
      <c r="Q5" s="383" t="n"/>
    </row>
    <row r="6" ht="20.15" customFormat="1" customHeight="1" s="2">
      <c r="B6" s="179" t="n"/>
      <c r="C6" s="181" t="n"/>
      <c r="D6" s="464" t="n"/>
      <c r="E6" s="464" t="n"/>
      <c r="F6" s="464" t="n"/>
      <c r="G6" s="463" t="n"/>
      <c r="H6" s="383" t="n"/>
      <c r="I6" s="383" t="n"/>
      <c r="J6" s="383" t="n"/>
      <c r="K6" s="383" t="n"/>
      <c r="L6" s="383" t="n"/>
      <c r="M6" s="383" t="n"/>
      <c r="N6" s="383" t="n"/>
      <c r="O6" s="383" t="n"/>
      <c r="P6" s="383" t="n"/>
      <c r="Q6" s="383" t="n"/>
    </row>
    <row r="7" ht="20.15" customFormat="1" customHeight="1" s="2">
      <c r="B7" s="179" t="n"/>
      <c r="C7" s="181" t="n"/>
      <c r="D7" s="464" t="n"/>
      <c r="E7" s="464" t="n"/>
      <c r="F7" s="464" t="n"/>
      <c r="G7" s="463" t="n"/>
      <c r="H7" s="383" t="n"/>
      <c r="I7" s="383" t="n"/>
      <c r="J7" s="383" t="n"/>
      <c r="K7" s="383" t="n"/>
      <c r="L7" s="383" t="n"/>
      <c r="M7" s="383" t="n"/>
      <c r="N7" s="383" t="n"/>
      <c r="O7" s="383" t="n"/>
      <c r="P7" s="383" t="n"/>
      <c r="Q7" s="383" t="n"/>
    </row>
    <row r="8" ht="20.15" customFormat="1" customHeight="1" s="2">
      <c r="B8" s="179" t="n"/>
      <c r="C8" s="181" t="n"/>
      <c r="D8" s="464" t="n"/>
      <c r="E8" s="464" t="n"/>
      <c r="F8" s="464" t="n"/>
      <c r="G8" s="463" t="n"/>
      <c r="H8" s="383" t="n"/>
      <c r="I8" s="383" t="n"/>
      <c r="J8" s="383" t="n"/>
      <c r="K8" s="383" t="n"/>
      <c r="L8" s="383" t="n"/>
      <c r="M8" s="383" t="n"/>
      <c r="N8" s="383" t="n"/>
      <c r="O8" s="383" t="n"/>
      <c r="P8" s="383" t="n"/>
      <c r="Q8" s="383" t="n"/>
    </row>
    <row r="9" ht="14.5" customFormat="1" customHeight="1" s="2">
      <c r="B9" s="189" t="inlineStr">
        <is>
          <t>Date of Calibration:</t>
        </is>
      </c>
      <c r="C9" s="465" t="n">
        <v>44859</v>
      </c>
      <c r="D9" s="237" t="inlineStr">
        <is>
          <t>DEVT No.</t>
        </is>
      </c>
      <c r="E9" s="237" t="inlineStr">
        <is>
          <t>Make / Model</t>
        </is>
      </c>
      <c r="F9" s="237" t="inlineStr">
        <is>
          <t>Serial Number</t>
        </is>
      </c>
      <c r="G9" s="237" t="inlineStr">
        <is>
          <t>Next Calibration</t>
        </is>
      </c>
      <c r="H9" s="383" t="n"/>
      <c r="I9" s="383" t="n"/>
      <c r="J9" s="383" t="n"/>
      <c r="K9" s="383" t="n"/>
      <c r="L9" s="383" t="n"/>
      <c r="M9" s="383" t="n"/>
      <c r="N9" s="383" t="n"/>
      <c r="O9" s="383" t="n"/>
      <c r="P9" s="383" t="n"/>
      <c r="Q9" s="383" t="n"/>
    </row>
    <row r="10" ht="14.5" customFormat="1" customHeight="1" s="2">
      <c r="B10" s="236" t="inlineStr">
        <is>
          <t xml:space="preserve">Signed: </t>
        </is>
      </c>
      <c r="C10" s="383" t="n"/>
      <c r="D10" s="238" t="inlineStr">
        <is>
          <t>DEVT101</t>
        </is>
      </c>
      <c r="E10" s="239" t="inlineStr">
        <is>
          <t>Druck Pace 5000 Pressure Calibrator</t>
        </is>
      </c>
      <c r="F10" s="240" t="n">
        <v>3337916</v>
      </c>
      <c r="G10" s="466" t="n">
        <v>45134</v>
      </c>
      <c r="H10" s="383" t="n"/>
      <c r="I10" s="383" t="n"/>
      <c r="J10" s="383" t="n"/>
      <c r="K10" s="383" t="n"/>
      <c r="L10" s="383" t="n"/>
      <c r="M10" s="383" t="n"/>
      <c r="N10" s="383" t="n"/>
      <c r="O10" s="383" t="n"/>
      <c r="P10" s="383" t="n"/>
      <c r="Q10" s="383" t="n"/>
    </row>
    <row r="11" customFormat="1" s="2">
      <c r="B11" s="383" t="n"/>
      <c r="C11" s="383" t="n"/>
      <c r="D11" s="238" t="inlineStr">
        <is>
          <t>DEVT102</t>
        </is>
      </c>
      <c r="E11" s="239" t="inlineStr">
        <is>
          <t>Druck Pace 5000 Pressure Calibrator</t>
        </is>
      </c>
      <c r="F11" s="240" t="n">
        <v>3406427</v>
      </c>
      <c r="G11" s="466" t="n">
        <v>45132</v>
      </c>
      <c r="H11" s="383" t="n"/>
      <c r="I11" s="383" t="n"/>
      <c r="J11" s="383" t="n"/>
      <c r="K11" s="383" t="n"/>
      <c r="L11" s="383" t="n"/>
      <c r="M11" s="383" t="n"/>
      <c r="N11" s="383" t="n"/>
      <c r="O11" s="383" t="n"/>
      <c r="P11" s="383" t="n"/>
      <c r="Q11" s="383" t="n"/>
    </row>
    <row r="12" ht="15.5" customFormat="1" customHeight="1" s="2">
      <c r="B12" s="179" t="n"/>
      <c r="C12" s="181" t="n"/>
      <c r="D12" s="238" t="inlineStr">
        <is>
          <t>DEVT105</t>
        </is>
      </c>
      <c r="E12" s="239" t="inlineStr">
        <is>
          <t>Druck DPI620 Modulaor Calibrator</t>
        </is>
      </c>
      <c r="F12" s="240" t="n">
        <v>3268738</v>
      </c>
      <c r="G12" s="466" t="n">
        <v>44902</v>
      </c>
      <c r="H12" s="383" t="n"/>
      <c r="I12" s="383" t="n"/>
      <c r="J12" s="383" t="n"/>
      <c r="K12" s="383" t="n"/>
      <c r="L12" s="383" t="n"/>
      <c r="M12" s="383" t="n"/>
      <c r="N12" s="383" t="n"/>
      <c r="O12" s="383" t="n"/>
      <c r="P12" s="383" t="n"/>
      <c r="Q12" s="383" t="n"/>
    </row>
    <row r="13" customFormat="1" s="2">
      <c r="B13" s="383" t="n"/>
      <c r="C13" s="383" t="n"/>
      <c r="D13" s="238" t="inlineStr">
        <is>
          <t>DEVT135</t>
        </is>
      </c>
      <c r="E13" s="239" t="inlineStr">
        <is>
          <t>GE Sensing PM620-03G Sensor</t>
        </is>
      </c>
      <c r="F13" s="240" t="n">
        <v>3971088</v>
      </c>
      <c r="G13" s="466" t="n">
        <v>44902</v>
      </c>
      <c r="H13" s="383" t="n"/>
      <c r="I13" s="383" t="n"/>
      <c r="J13" s="383" t="n"/>
      <c r="K13" s="383" t="n"/>
      <c r="L13" s="383" t="n"/>
      <c r="M13" s="383" t="n"/>
      <c r="N13" s="383" t="n"/>
      <c r="O13" s="383" t="n"/>
      <c r="P13" s="383" t="n"/>
      <c r="Q13" s="383" t="n"/>
    </row>
    <row r="14" customFormat="1" s="2">
      <c r="B14" s="383" t="n"/>
      <c r="C14" s="383" t="n"/>
      <c r="D14" s="238" t="inlineStr">
        <is>
          <t>DEVT136</t>
        </is>
      </c>
      <c r="E14" s="239" t="inlineStr">
        <is>
          <t>GE Sensing PM620-11G Sensor</t>
        </is>
      </c>
      <c r="F14" s="240" t="n">
        <v>4040508</v>
      </c>
      <c r="G14" s="466" t="n">
        <v>44902</v>
      </c>
      <c r="H14" s="383" t="n"/>
      <c r="I14" s="383" t="n"/>
      <c r="J14" s="383" t="n"/>
      <c r="K14" s="383" t="n"/>
      <c r="L14" s="383" t="n"/>
      <c r="M14" s="383" t="n"/>
      <c r="N14" s="383" t="n"/>
      <c r="O14" s="383" t="n"/>
      <c r="P14" s="383" t="n"/>
      <c r="Q14" s="383" t="n"/>
    </row>
    <row r="15" customFormat="1" s="2">
      <c r="B15" s="383" t="n"/>
      <c r="C15" s="383" t="n"/>
      <c r="D15" s="238" t="inlineStr">
        <is>
          <t>DEVT 547</t>
        </is>
      </c>
      <c r="E15" s="239" t="inlineStr">
        <is>
          <t>Tti 20MHz DDS Function Gen</t>
        </is>
      </c>
      <c r="F15" s="240" t="n">
        <v>280681</v>
      </c>
      <c r="G15" s="466" t="n">
        <v>45101</v>
      </c>
      <c r="H15" s="383" t="n"/>
      <c r="I15" s="383" t="n"/>
      <c r="J15" s="383" t="n"/>
      <c r="K15" s="383" t="n"/>
      <c r="L15" s="383" t="n"/>
      <c r="M15" s="383" t="n"/>
      <c r="N15" s="383" t="n"/>
      <c r="O15" s="383" t="n"/>
      <c r="P15" s="383" t="n"/>
      <c r="Q15" s="383" t="n"/>
    </row>
    <row r="16">
      <c r="B16" s="19" t="n"/>
      <c r="C16" s="19" t="n"/>
      <c r="D16" s="394" t="n"/>
      <c r="E16" s="394" t="n"/>
      <c r="F16" s="394" t="n"/>
      <c r="G16" s="394" t="n"/>
      <c r="H16" s="394" t="n"/>
      <c r="I16" s="394" t="n"/>
      <c r="J16" s="394" t="n"/>
      <c r="K16" s="231" t="n"/>
      <c r="L16" s="394" t="n"/>
      <c r="M16" s="231" t="n"/>
      <c r="N16" s="231" t="n"/>
      <c r="O16" s="394" t="n"/>
      <c r="P16" s="394" t="n"/>
      <c r="Q16" s="394" t="n"/>
    </row>
    <row r="17" ht="13" customHeight="1">
      <c r="B17" s="70" t="n"/>
      <c r="C17" s="70" t="n"/>
      <c r="D17" s="394" t="n"/>
      <c r="E17" s="394" t="n"/>
      <c r="F17" s="394" t="n"/>
      <c r="G17" s="394" t="n"/>
      <c r="H17" s="394" t="n"/>
      <c r="I17" s="394" t="n"/>
      <c r="J17" s="394" t="n"/>
      <c r="K17" s="232" t="n"/>
      <c r="L17" s="394" t="n"/>
      <c r="M17" s="467" t="n"/>
      <c r="N17" s="467" t="n"/>
      <c r="O17" s="394" t="n"/>
      <c r="P17" s="394" t="n"/>
      <c r="Q17" s="394" t="n"/>
    </row>
    <row r="18" ht="13" customHeight="1">
      <c r="B18" s="70" t="n"/>
      <c r="C18" s="70" t="n"/>
      <c r="D18" s="394" t="n"/>
      <c r="E18" s="394" t="n"/>
      <c r="F18" s="394" t="n"/>
      <c r="G18" s="394" t="n"/>
      <c r="H18" s="394" t="n"/>
      <c r="I18" s="394" t="n"/>
      <c r="J18" s="394" t="n"/>
      <c r="K18" s="232" t="n"/>
      <c r="L18" s="394" t="n"/>
      <c r="M18" s="467" t="n"/>
      <c r="N18" s="467" t="n"/>
      <c r="O18" s="394" t="n"/>
      <c r="P18" s="394" t="n"/>
      <c r="Q18" s="394" t="n"/>
    </row>
    <row r="19" ht="13" customHeight="1">
      <c r="B19" s="70" t="n"/>
      <c r="C19" s="394" t="n"/>
      <c r="D19" s="394" t="n"/>
      <c r="E19" s="394" t="n"/>
      <c r="F19" s="394" t="n"/>
      <c r="G19" s="394" t="n"/>
      <c r="H19" s="394" t="n"/>
      <c r="I19" s="394" t="n"/>
      <c r="J19" s="394" t="n"/>
      <c r="K19" s="232" t="n"/>
      <c r="L19" s="394" t="n"/>
      <c r="M19" s="467" t="n"/>
      <c r="N19" s="467" t="n"/>
      <c r="O19" s="394" t="n"/>
      <c r="P19" s="394" t="n"/>
      <c r="Q19" s="394" t="n"/>
    </row>
    <row r="20" ht="13" customHeight="1">
      <c r="B20" s="70" t="n"/>
      <c r="C20" s="70" t="n"/>
      <c r="D20" s="394" t="n"/>
      <c r="E20" s="394" t="n"/>
      <c r="F20" s="394" t="n"/>
      <c r="G20" s="394" t="n"/>
      <c r="H20" s="394" t="n"/>
      <c r="I20" s="394" t="n"/>
      <c r="J20" s="394" t="n"/>
      <c r="K20" s="232" t="n"/>
      <c r="L20" s="394" t="n"/>
      <c r="M20" s="467" t="n"/>
      <c r="N20" s="467" t="n"/>
      <c r="O20" s="394" t="n"/>
      <c r="P20" s="394" t="n"/>
      <c r="Q20" s="394" t="n"/>
    </row>
    <row r="21" ht="13" customHeight="1">
      <c r="B21" s="70" t="n"/>
      <c r="C21" s="70" t="n"/>
      <c r="D21" s="394" t="n"/>
      <c r="E21" s="394" t="n"/>
      <c r="F21" s="394" t="n"/>
      <c r="G21" s="394" t="n"/>
      <c r="H21" s="394" t="n"/>
      <c r="I21" s="394" t="n"/>
      <c r="J21" s="394" t="n"/>
      <c r="K21" s="232" t="n"/>
      <c r="L21" s="394" t="n"/>
      <c r="M21" s="467" t="n"/>
      <c r="N21" s="467" t="n"/>
      <c r="O21" s="394" t="n"/>
      <c r="P21" s="394" t="n"/>
      <c r="Q21" s="394" t="n"/>
    </row>
    <row r="22" ht="13" customHeight="1">
      <c r="B22" s="70" t="n"/>
      <c r="C22" s="70" t="n"/>
      <c r="D22" s="70" t="n"/>
      <c r="E22" s="468" t="n"/>
      <c r="F22" s="468" t="n"/>
      <c r="G22" s="468" t="n"/>
      <c r="H22" s="394" t="n"/>
      <c r="I22" s="394" t="n"/>
      <c r="J22" s="394" t="n"/>
      <c r="K22" s="394" t="n"/>
      <c r="L22" s="394" t="n"/>
      <c r="M22" s="394" t="n"/>
      <c r="N22" s="394" t="n"/>
      <c r="O22" s="394" t="n"/>
      <c r="P22" s="394" t="n"/>
      <c r="Q22" s="394" t="n"/>
    </row>
    <row r="23" ht="13" customHeight="1">
      <c r="B23" s="70" t="n"/>
      <c r="C23" s="70" t="n"/>
      <c r="D23" s="70" t="n"/>
      <c r="E23" s="469" t="n"/>
      <c r="F23" s="469" t="n"/>
      <c r="G23" s="469" t="n"/>
      <c r="H23" s="394" t="n"/>
      <c r="I23" s="394" t="n"/>
      <c r="J23" s="394" t="n"/>
      <c r="K23" s="394" t="n"/>
      <c r="L23" s="394" t="n"/>
      <c r="M23" s="394" t="n"/>
      <c r="N23" s="394" t="n"/>
      <c r="O23" s="394" t="n"/>
      <c r="P23" s="394" t="n"/>
      <c r="Q23" s="394" t="n"/>
    </row>
    <row r="24" ht="13" customHeight="1">
      <c r="B24" s="70" t="n"/>
      <c r="C24" s="70" t="n"/>
      <c r="D24" s="70" t="n"/>
      <c r="E24" s="468" t="n"/>
      <c r="F24" s="468" t="n"/>
      <c r="G24" s="468" t="n"/>
      <c r="H24" s="394" t="n"/>
      <c r="I24" s="394" t="n"/>
      <c r="J24" s="394" t="n"/>
      <c r="K24" s="394" t="n"/>
      <c r="L24" s="394" t="n"/>
      <c r="M24" s="394" t="n"/>
      <c r="N24" s="394" t="n"/>
      <c r="O24" s="394" t="n"/>
      <c r="P24" s="394" t="n"/>
      <c r="Q24" s="394" t="n"/>
    </row>
    <row r="25" ht="13" customHeight="1">
      <c r="B25" s="70" t="n"/>
      <c r="C25" s="70" t="n"/>
      <c r="D25" s="70" t="n"/>
      <c r="E25" s="469" t="n"/>
      <c r="F25" s="469" t="n"/>
      <c r="G25" s="469" t="n"/>
      <c r="H25" s="394" t="n"/>
      <c r="I25" s="394" t="n"/>
      <c r="J25" s="394" t="n"/>
      <c r="K25" s="394" t="n"/>
      <c r="L25" s="394" t="n"/>
      <c r="M25" s="394" t="n"/>
      <c r="N25" s="394" t="n"/>
      <c r="O25" s="394" t="n"/>
      <c r="P25" s="394" t="n"/>
      <c r="Q25" s="394" t="n"/>
    </row>
    <row r="26" ht="13" customHeight="1">
      <c r="B26" s="70" t="n"/>
      <c r="C26" s="70" t="n"/>
      <c r="D26" s="70" t="n"/>
      <c r="E26" s="468" t="n"/>
      <c r="F26" s="468" t="n"/>
      <c r="G26" s="468" t="n"/>
      <c r="H26" s="394" t="n"/>
      <c r="I26" s="394" t="n"/>
      <c r="J26" s="394" t="n"/>
      <c r="K26" s="394" t="n"/>
      <c r="L26" s="394" t="n"/>
      <c r="M26" s="394" t="n"/>
      <c r="N26" s="394" t="n"/>
      <c r="O26" s="394" t="n"/>
      <c r="P26" s="394" t="n"/>
      <c r="Q26" s="394" t="n"/>
    </row>
    <row r="27" ht="13" customHeight="1">
      <c r="B27" s="70" t="n"/>
      <c r="C27" s="70" t="n"/>
      <c r="D27" s="70" t="n"/>
      <c r="E27" s="469" t="n"/>
      <c r="F27" s="469" t="n"/>
      <c r="G27" s="469" t="n"/>
      <c r="H27" s="394" t="n"/>
      <c r="I27" s="394" t="n"/>
      <c r="J27" s="394" t="n"/>
      <c r="K27" s="394" t="n"/>
      <c r="L27" s="394" t="n"/>
      <c r="M27" s="394" t="n"/>
      <c r="N27" s="394" t="n"/>
      <c r="O27" s="394" t="n"/>
      <c r="P27" s="394" t="n"/>
      <c r="Q27" s="394" t="n"/>
    </row>
    <row r="28" ht="13" customHeight="1">
      <c r="B28" s="70" t="n"/>
      <c r="C28" s="70" t="n"/>
      <c r="D28" s="70" t="n"/>
      <c r="E28" s="468" t="n"/>
      <c r="F28" s="468" t="n"/>
      <c r="G28" s="468" t="n"/>
      <c r="H28" s="394" t="n"/>
      <c r="I28" s="394" t="n"/>
      <c r="J28" s="394" t="n"/>
      <c r="K28" s="394" t="n"/>
      <c r="L28" s="394" t="n"/>
      <c r="M28" s="394" t="n"/>
      <c r="N28" s="394" t="n"/>
      <c r="O28" s="394" t="n"/>
      <c r="P28" s="394" t="n"/>
      <c r="Q28" s="394" t="n"/>
    </row>
    <row r="29" ht="13" customHeight="1">
      <c r="B29" s="70" t="n"/>
      <c r="C29" s="70" t="n"/>
      <c r="D29" s="70" t="n"/>
      <c r="E29" s="469" t="n"/>
      <c r="F29" s="469" t="n"/>
      <c r="G29" s="469" t="n"/>
      <c r="H29" s="394" t="n"/>
      <c r="I29" s="394" t="n"/>
      <c r="J29" s="394" t="n"/>
      <c r="K29" s="394" t="n"/>
      <c r="L29" s="394" t="n"/>
      <c r="M29" s="394" t="n"/>
      <c r="N29" s="394" t="n"/>
      <c r="O29" s="394" t="n"/>
      <c r="P29" s="394" t="n"/>
      <c r="Q29" s="394" t="n"/>
    </row>
    <row r="30" ht="13" customHeight="1">
      <c r="B30" s="70" t="n"/>
      <c r="C30" s="70" t="n"/>
      <c r="D30" s="70" t="n"/>
      <c r="E30" s="468" t="n"/>
      <c r="F30" s="468" t="n"/>
      <c r="G30" s="468" t="n"/>
      <c r="H30" s="394" t="n"/>
      <c r="I30" s="394" t="n"/>
      <c r="J30" s="394" t="n"/>
      <c r="K30" s="394" t="n"/>
      <c r="L30" s="394" t="n"/>
      <c r="M30" s="394" t="n"/>
      <c r="N30" s="394" t="n"/>
      <c r="O30" s="394" t="n"/>
      <c r="P30" s="394" t="n"/>
      <c r="Q30" s="394" t="n"/>
    </row>
    <row r="31" ht="13" customHeight="1">
      <c r="B31" s="70" t="n"/>
      <c r="C31" s="70" t="n"/>
      <c r="D31" s="70" t="n"/>
      <c r="E31" s="469" t="n"/>
      <c r="F31" s="469" t="n"/>
      <c r="G31" s="469" t="n"/>
      <c r="H31" s="394" t="n"/>
      <c r="I31" s="394" t="n"/>
      <c r="J31" s="394" t="n"/>
      <c r="K31" s="394" t="n"/>
      <c r="L31" s="394" t="n"/>
      <c r="M31" s="394" t="n"/>
      <c r="N31" s="394" t="n"/>
      <c r="O31" s="394" t="n"/>
      <c r="P31" s="394" t="n"/>
      <c r="Q31" s="394" t="n"/>
    </row>
    <row r="32" ht="13" customHeight="1">
      <c r="B32" s="70" t="n"/>
      <c r="C32" s="70" t="n"/>
      <c r="D32" s="70" t="n"/>
      <c r="E32" s="468" t="n"/>
      <c r="F32" s="468" t="n"/>
      <c r="G32" s="468" t="n"/>
      <c r="H32" s="394" t="n"/>
      <c r="I32" s="394" t="n"/>
      <c r="J32" s="394" t="n"/>
      <c r="K32" s="394" t="n"/>
      <c r="L32" s="394" t="n"/>
      <c r="M32" s="394" t="n"/>
      <c r="N32" s="394" t="n"/>
      <c r="O32" s="394" t="n"/>
      <c r="P32" s="394" t="n"/>
      <c r="Q32" s="394" t="n"/>
    </row>
    <row r="33" ht="13" customHeight="1">
      <c r="B33" s="70" t="n"/>
      <c r="C33" s="70" t="n"/>
      <c r="D33" s="70" t="n"/>
      <c r="E33" s="469" t="n"/>
      <c r="F33" s="469" t="n"/>
      <c r="G33" s="469" t="n"/>
      <c r="H33" s="394" t="n"/>
    </row>
    <row r="34" ht="13" customHeight="1">
      <c r="B34" s="70" t="n"/>
      <c r="C34" s="70" t="n"/>
      <c r="D34" s="70" t="n"/>
      <c r="E34" s="468" t="n"/>
      <c r="F34" s="468" t="n"/>
      <c r="G34" s="468" t="n"/>
      <c r="H34" s="394" t="n"/>
    </row>
    <row r="35" ht="13" customHeight="1">
      <c r="B35" s="70" t="n"/>
      <c r="C35" s="70" t="n"/>
      <c r="D35" s="70" t="n"/>
      <c r="E35" s="469" t="n"/>
      <c r="F35" s="469" t="n"/>
      <c r="G35" s="469" t="n"/>
      <c r="H35" s="394" t="n"/>
    </row>
    <row r="36" ht="13" customHeight="1">
      <c r="B36" s="70" t="n"/>
      <c r="C36" s="70" t="n"/>
      <c r="D36" s="70" t="n"/>
      <c r="E36" s="468" t="n"/>
      <c r="F36" s="468" t="n"/>
      <c r="G36" s="468" t="n"/>
      <c r="H36" s="394" t="n"/>
    </row>
    <row r="37" ht="13" customHeight="1">
      <c r="B37" s="70" t="n"/>
      <c r="C37" s="70" t="n"/>
      <c r="D37" s="70" t="n"/>
      <c r="E37" s="469" t="n"/>
      <c r="F37" s="469" t="n"/>
      <c r="G37" s="469" t="n"/>
      <c r="H37" s="394" t="n"/>
    </row>
    <row r="38" ht="13" customHeight="1">
      <c r="B38" s="70" t="n"/>
      <c r="C38" s="70" t="n"/>
      <c r="D38" s="70" t="n"/>
      <c r="E38" s="468" t="n"/>
      <c r="F38" s="468" t="n"/>
      <c r="G38" s="468" t="n"/>
      <c r="H38" s="394" t="n"/>
    </row>
    <row r="39" ht="13" customHeight="1">
      <c r="B39" s="70" t="n"/>
      <c r="C39" s="70" t="n"/>
      <c r="D39" s="70" t="n"/>
      <c r="E39" s="469" t="n"/>
      <c r="F39" s="469" t="n"/>
      <c r="G39" s="469" t="n"/>
      <c r="H39" s="394" t="n"/>
    </row>
    <row r="40" ht="13" customHeight="1">
      <c r="B40" s="70" t="n"/>
      <c r="C40" s="70" t="n"/>
      <c r="D40" s="70" t="n"/>
      <c r="E40" s="468" t="n"/>
      <c r="F40" s="468" t="n"/>
      <c r="G40" s="468" t="n"/>
      <c r="H40" s="394" t="n"/>
    </row>
    <row r="41" ht="13" customHeight="1">
      <c r="B41" s="70" t="n"/>
      <c r="C41" s="70" t="n"/>
      <c r="D41" s="70" t="n"/>
      <c r="E41" s="394" t="n"/>
      <c r="F41" s="394" t="n"/>
      <c r="G41" s="394" t="n"/>
      <c r="H41" s="394" t="n"/>
    </row>
    <row r="42" ht="13" customHeight="1">
      <c r="B42" s="70" t="n"/>
      <c r="C42" s="70" t="n"/>
      <c r="D42" s="70" t="n"/>
      <c r="E42" s="73" t="n"/>
      <c r="F42" s="73" t="n"/>
      <c r="G42" s="73" t="n"/>
      <c r="H42" s="394" t="n"/>
    </row>
    <row r="43" ht="13" customHeight="1">
      <c r="B43" s="70" t="n"/>
      <c r="C43" s="70" t="n"/>
      <c r="D43" s="70" t="n"/>
      <c r="E43" s="394" t="n"/>
      <c r="F43" s="394" t="n"/>
      <c r="G43" s="394" t="n"/>
      <c r="H43" s="394" t="n"/>
    </row>
    <row r="44">
      <c r="B44" s="394" t="n"/>
      <c r="C44" s="394" t="n"/>
      <c r="D44" s="394" t="n"/>
      <c r="E44" s="394" t="n"/>
      <c r="F44" s="394" t="n"/>
      <c r="G44" s="394" t="n"/>
      <c r="H44" s="394" t="n"/>
    </row>
    <row r="45">
      <c r="B45" s="394" t="n"/>
      <c r="C45" s="394" t="n"/>
      <c r="D45" s="394" t="n"/>
      <c r="E45" s="394" t="n"/>
      <c r="F45" s="394" t="n"/>
      <c r="G45" s="394" t="n"/>
      <c r="H45" s="394" t="n"/>
    </row>
    <row r="46">
      <c r="B46" s="394" t="n"/>
      <c r="C46" s="394" t="n"/>
      <c r="D46" s="394" t="n"/>
      <c r="E46" s="394" t="n"/>
      <c r="F46" s="394" t="n"/>
      <c r="G46" s="394" t="n"/>
      <c r="H46" s="394" t="n"/>
    </row>
    <row r="47">
      <c r="B47" s="394" t="n"/>
      <c r="C47" s="394" t="n"/>
      <c r="D47" s="394" t="n"/>
      <c r="E47" s="394" t="n"/>
      <c r="F47" s="394" t="n"/>
      <c r="G47" s="394" t="n"/>
      <c r="H47" s="394" t="n"/>
    </row>
    <row r="48">
      <c r="B48" s="394" t="n"/>
      <c r="C48" s="394" t="n"/>
      <c r="D48" s="394" t="n"/>
      <c r="E48" s="394" t="n"/>
      <c r="F48" s="394" t="n"/>
      <c r="G48" s="394" t="n"/>
      <c r="H48" s="394" t="n"/>
    </row>
    <row r="49">
      <c r="B49" s="394" t="n"/>
      <c r="C49" s="394" t="n"/>
      <c r="D49" s="394" t="n"/>
      <c r="E49" s="394" t="n"/>
      <c r="F49" s="394" t="n"/>
      <c r="G49" s="394" t="n"/>
      <c r="H49" s="394" t="n"/>
    </row>
    <row r="50">
      <c r="B50" s="394" t="n"/>
      <c r="C50" s="394" t="n"/>
      <c r="D50" s="394" t="n"/>
      <c r="E50" s="394" t="n"/>
      <c r="F50" s="394" t="n"/>
      <c r="G50" s="394" t="n"/>
      <c r="H50" s="394" t="n"/>
    </row>
    <row r="51">
      <c r="B51" s="394" t="n"/>
      <c r="C51" s="394" t="n"/>
      <c r="D51" s="394" t="n"/>
      <c r="E51" s="394" t="n"/>
      <c r="F51" s="394" t="n"/>
      <c r="G51" s="394" t="n"/>
      <c r="H51" s="394" t="n"/>
    </row>
    <row r="52">
      <c r="B52" s="394" t="n"/>
      <c r="C52" s="394" t="n"/>
      <c r="D52" s="394" t="n"/>
      <c r="E52" s="394" t="n"/>
      <c r="F52" s="394" t="n"/>
      <c r="G52" s="394" t="n"/>
      <c r="H52" s="394" t="n"/>
    </row>
    <row r="53">
      <c r="B53" s="394" t="n"/>
      <c r="C53" s="394" t="n"/>
      <c r="D53" s="394" t="n"/>
      <c r="E53" s="394" t="n"/>
      <c r="F53" s="394" t="n"/>
      <c r="G53" s="394" t="n"/>
      <c r="H53" s="394" t="n"/>
    </row>
    <row r="54">
      <c r="B54" s="394" t="n"/>
      <c r="C54" s="394" t="n"/>
      <c r="D54" s="394" t="n"/>
      <c r="E54" s="394" t="n"/>
      <c r="F54" s="394" t="n"/>
      <c r="G54" s="394" t="n"/>
      <c r="H54" s="394" t="n"/>
    </row>
    <row r="55">
      <c r="B55" s="394" t="n"/>
      <c r="C55" s="394" t="n"/>
      <c r="D55" s="394" t="n"/>
      <c r="E55" s="394" t="n"/>
      <c r="F55" s="394" t="n"/>
      <c r="G55" s="394" t="n"/>
      <c r="H55" s="394" t="n"/>
    </row>
    <row r="56">
      <c r="B56" s="394" t="n"/>
      <c r="C56" s="394" t="n"/>
      <c r="D56" s="394" t="n"/>
      <c r="E56" s="394" t="n"/>
      <c r="F56" s="394" t="n"/>
      <c r="G56" s="394" t="n"/>
      <c r="H56" s="394" t="n"/>
    </row>
    <row r="57">
      <c r="B57" s="394" t="n"/>
      <c r="C57" s="394" t="n"/>
      <c r="D57" s="394" t="n"/>
      <c r="E57" s="394" t="n"/>
      <c r="F57" s="394" t="n"/>
      <c r="G57" s="394" t="n"/>
      <c r="H57" s="394" t="n"/>
    </row>
    <row r="58">
      <c r="B58" s="394" t="n"/>
      <c r="C58" s="394" t="n"/>
      <c r="D58" s="394" t="n"/>
      <c r="E58" s="394" t="n"/>
      <c r="F58" s="394" t="n"/>
      <c r="G58" s="394" t="n"/>
      <c r="H58" s="394" t="n"/>
    </row>
    <row r="59">
      <c r="B59" s="394" t="n"/>
      <c r="C59" s="394" t="n"/>
      <c r="D59" s="394" t="n"/>
      <c r="E59" s="394" t="n"/>
      <c r="F59" s="394" t="n"/>
      <c r="G59" s="394" t="n"/>
      <c r="H59" s="394" t="n"/>
    </row>
    <row r="60">
      <c r="B60" s="394" t="n"/>
      <c r="C60" s="394" t="n"/>
      <c r="D60" s="394" t="n"/>
      <c r="E60" s="394" t="n"/>
      <c r="F60" s="394" t="n"/>
      <c r="G60" s="394" t="n"/>
      <c r="H60" s="394" t="n"/>
    </row>
    <row r="61">
      <c r="B61" s="394" t="n"/>
      <c r="C61" s="394" t="n"/>
      <c r="D61" s="394" t="n"/>
      <c r="E61" s="394" t="n"/>
      <c r="F61" s="394" t="n"/>
      <c r="G61" s="394" t="n"/>
      <c r="H61" s="394" t="n"/>
    </row>
    <row r="62">
      <c r="B62" s="394" t="n"/>
      <c r="C62" s="394" t="n"/>
      <c r="D62" s="394" t="n"/>
      <c r="E62" s="394" t="n"/>
      <c r="F62" s="394" t="n"/>
      <c r="G62" s="394" t="n"/>
      <c r="H62" s="394" t="n"/>
    </row>
    <row r="63">
      <c r="B63" s="394" t="n"/>
      <c r="C63" s="394" t="n"/>
      <c r="D63" s="394" t="n"/>
      <c r="E63" s="394" t="n"/>
      <c r="F63" s="394" t="n"/>
      <c r="G63" s="394" t="n"/>
      <c r="H63" s="394" t="n"/>
    </row>
    <row r="64">
      <c r="B64" s="394" t="n"/>
      <c r="C64" s="394" t="n"/>
      <c r="D64" s="394" t="n"/>
      <c r="E64" s="394" t="n"/>
      <c r="F64" s="394" t="n"/>
      <c r="G64" s="394" t="n"/>
      <c r="H64" s="394" t="n"/>
    </row>
    <row r="65">
      <c r="B65" s="394" t="n"/>
      <c r="C65" s="394" t="n"/>
      <c r="D65" s="394" t="n"/>
      <c r="E65" s="394" t="n"/>
      <c r="F65" s="394" t="n"/>
      <c r="G65" s="394" t="n"/>
      <c r="H65" s="394" t="n"/>
    </row>
    <row r="66">
      <c r="B66" s="394" t="n"/>
      <c r="C66" s="394" t="n"/>
      <c r="D66" s="394" t="n"/>
      <c r="E66" s="394" t="n"/>
      <c r="F66" s="394" t="n"/>
      <c r="G66" s="394" t="n"/>
      <c r="H66" s="394" t="n"/>
    </row>
    <row r="67">
      <c r="B67" s="394" t="n"/>
      <c r="C67" s="394" t="n"/>
      <c r="D67" s="394" t="n"/>
      <c r="E67" s="394" t="n"/>
      <c r="F67" s="394" t="n"/>
      <c r="G67" s="394" t="n"/>
      <c r="H67" s="394" t="n"/>
    </row>
    <row r="68">
      <c r="B68" s="394" t="n"/>
      <c r="C68" s="394" t="n"/>
      <c r="D68" s="394" t="n"/>
      <c r="E68" s="394" t="n"/>
      <c r="F68" s="394" t="n"/>
      <c r="G68" s="394" t="n"/>
      <c r="H68" s="394" t="n"/>
    </row>
    <row r="69">
      <c r="B69" s="394" t="n"/>
      <c r="C69" s="394" t="n"/>
      <c r="D69" s="394" t="n"/>
      <c r="E69" s="394" t="n"/>
      <c r="F69" s="394" t="n"/>
      <c r="G69" s="394" t="n"/>
      <c r="H69" s="394" t="n"/>
    </row>
    <row r="70">
      <c r="B70" s="394" t="n"/>
      <c r="C70" s="394" t="n"/>
      <c r="D70" s="394" t="n"/>
      <c r="E70" s="394" t="n"/>
      <c r="F70" s="394" t="n"/>
      <c r="G70" s="394" t="n"/>
      <c r="H70" s="394" t="n"/>
    </row>
    <row r="71">
      <c r="B71" s="394" t="n"/>
      <c r="C71" s="394" t="n"/>
      <c r="D71" s="394" t="n"/>
      <c r="E71" s="394" t="n"/>
      <c r="F71" s="394" t="n"/>
      <c r="G71" s="394" t="n"/>
      <c r="H71" s="394" t="n"/>
    </row>
    <row r="72">
      <c r="B72" s="394" t="n"/>
      <c r="C72" s="394" t="n"/>
      <c r="D72" s="394" t="n"/>
      <c r="E72" s="394" t="n"/>
      <c r="F72" s="394" t="n"/>
      <c r="G72" s="394" t="n"/>
      <c r="H72" s="394" t="n"/>
    </row>
    <row r="73">
      <c r="B73" s="394" t="n"/>
      <c r="C73" s="394" t="n"/>
      <c r="D73" s="394" t="n"/>
      <c r="E73" s="394" t="n"/>
      <c r="F73" s="394" t="n"/>
      <c r="G73" s="394" t="n"/>
      <c r="H73" s="394" t="n"/>
    </row>
    <row r="74">
      <c r="B74" s="394" t="n"/>
      <c r="C74" s="394" t="n"/>
      <c r="D74" s="394" t="n"/>
      <c r="E74" s="394" t="n"/>
      <c r="F74" s="394" t="n"/>
      <c r="G74" s="394" t="n"/>
      <c r="H74" s="394" t="n"/>
    </row>
    <row r="75">
      <c r="B75" s="394" t="n"/>
      <c r="C75" s="394" t="n"/>
      <c r="D75" s="394" t="n"/>
      <c r="E75" s="394" t="n"/>
      <c r="F75" s="394" t="n"/>
      <c r="G75" s="394" t="n"/>
      <c r="H75" s="394" t="n"/>
    </row>
    <row r="76">
      <c r="B76" s="394" t="n"/>
      <c r="C76" s="394" t="n"/>
      <c r="D76" s="394" t="n"/>
      <c r="E76" s="394" t="n"/>
      <c r="F76" s="394" t="n"/>
      <c r="G76" s="394" t="n"/>
      <c r="H76" s="394" t="n"/>
    </row>
    <row r="77">
      <c r="B77" s="394" t="n"/>
      <c r="C77" s="394" t="n"/>
      <c r="D77" s="394" t="n"/>
      <c r="E77" s="394" t="n"/>
      <c r="F77" s="394" t="n"/>
      <c r="G77" s="394" t="n"/>
      <c r="H77" s="394" t="n"/>
    </row>
    <row r="78">
      <c r="B78" s="394" t="n"/>
      <c r="C78" s="394" t="n"/>
      <c r="D78" s="394" t="n"/>
      <c r="E78" s="394" t="n"/>
      <c r="F78" s="394" t="n"/>
      <c r="G78" s="394" t="n"/>
      <c r="H78" s="394" t="n"/>
    </row>
    <row r="79">
      <c r="B79" s="394" t="n"/>
      <c r="C79" s="394" t="n"/>
      <c r="D79" s="394" t="n"/>
      <c r="E79" s="394" t="n"/>
      <c r="F79" s="394" t="n"/>
      <c r="G79" s="394" t="n"/>
      <c r="H79" s="394" t="n"/>
    </row>
    <row r="80">
      <c r="B80" s="394" t="n"/>
      <c r="C80" s="394" t="n"/>
      <c r="D80" s="394" t="n"/>
      <c r="E80" s="394" t="n"/>
      <c r="F80" s="394" t="n"/>
      <c r="G80" s="394" t="n"/>
      <c r="H80" s="394" t="n"/>
    </row>
    <row r="81">
      <c r="B81" s="394" t="n"/>
      <c r="C81" s="394" t="n"/>
      <c r="D81" s="394" t="n"/>
      <c r="E81" s="394" t="n"/>
      <c r="F81" s="394" t="n"/>
      <c r="G81" s="394" t="n"/>
      <c r="H81" s="394" t="n"/>
    </row>
    <row r="82">
      <c r="B82" s="394" t="n"/>
      <c r="C82" s="394" t="n"/>
      <c r="D82" s="394" t="n"/>
      <c r="E82" s="394" t="n"/>
      <c r="F82" s="394" t="n"/>
      <c r="G82" s="394" t="n"/>
      <c r="H82" s="394" t="n"/>
    </row>
    <row r="83">
      <c r="B83" s="394" t="n"/>
      <c r="C83" s="394" t="n"/>
      <c r="D83" s="394" t="n"/>
      <c r="E83" s="394" t="n"/>
      <c r="F83" s="394" t="n"/>
      <c r="G83" s="394" t="n"/>
      <c r="H83" s="394" t="n"/>
    </row>
    <row r="84">
      <c r="B84" s="394" t="n"/>
      <c r="C84" s="394" t="n"/>
      <c r="D84" s="394" t="n"/>
      <c r="E84" s="394" t="n"/>
      <c r="F84" s="394" t="n"/>
      <c r="G84" s="394" t="n"/>
      <c r="H84" s="394" t="n"/>
    </row>
    <row r="85">
      <c r="B85" s="394" t="n"/>
      <c r="C85" s="394" t="n"/>
      <c r="D85" s="394" t="n"/>
      <c r="E85" s="394" t="n"/>
      <c r="F85" s="394" t="n"/>
      <c r="G85" s="394" t="n"/>
      <c r="H85" s="394" t="n"/>
    </row>
    <row r="86">
      <c r="B86" s="394" t="n"/>
      <c r="C86" s="394" t="n"/>
      <c r="D86" s="394" t="n"/>
      <c r="E86" s="394" t="n"/>
      <c r="F86" s="394" t="n"/>
      <c r="G86" s="394" t="n"/>
      <c r="H86" s="394" t="n"/>
    </row>
    <row r="87">
      <c r="B87" s="394" t="n"/>
      <c r="C87" s="394" t="n"/>
      <c r="D87" s="394" t="n"/>
      <c r="E87" s="394" t="n"/>
      <c r="F87" s="394" t="n"/>
      <c r="G87" s="394" t="n"/>
      <c r="H87" s="394" t="n"/>
    </row>
    <row r="88">
      <c r="B88" s="394" t="n"/>
      <c r="C88" s="394" t="n"/>
      <c r="D88" s="394" t="n"/>
      <c r="E88" s="394" t="n"/>
      <c r="F88" s="394" t="n"/>
      <c r="G88" s="394" t="n"/>
      <c r="H88" s="394" t="n"/>
    </row>
    <row r="89">
      <c r="B89" s="394" t="n"/>
      <c r="C89" s="394" t="n"/>
      <c r="D89" s="394" t="n"/>
      <c r="E89" s="394" t="n"/>
      <c r="F89" s="394" t="n"/>
      <c r="G89" s="394" t="n"/>
      <c r="H89" s="394" t="n"/>
    </row>
    <row r="90">
      <c r="B90" s="394" t="n"/>
      <c r="C90" s="394" t="n"/>
      <c r="D90" s="394" t="n"/>
      <c r="E90" s="394" t="n"/>
      <c r="F90" s="394" t="n"/>
      <c r="G90" s="394" t="n"/>
      <c r="H90" s="394" t="n"/>
    </row>
    <row r="91">
      <c r="B91" s="394" t="n"/>
      <c r="C91" s="394" t="n"/>
      <c r="D91" s="394" t="n"/>
      <c r="E91" s="394" t="n"/>
      <c r="F91" s="394" t="n"/>
      <c r="G91" s="394" t="n"/>
      <c r="H91" s="394" t="n"/>
    </row>
    <row r="92">
      <c r="B92" s="394" t="n"/>
      <c r="C92" s="394" t="n"/>
      <c r="D92" s="394" t="n"/>
      <c r="E92" s="394" t="n"/>
      <c r="F92" s="394" t="n"/>
      <c r="G92" s="394" t="n"/>
      <c r="H92" s="394" t="n"/>
    </row>
    <row r="93">
      <c r="B93" s="394" t="n"/>
      <c r="C93" s="394" t="n"/>
      <c r="D93" s="394" t="n"/>
      <c r="E93" s="394" t="n"/>
      <c r="F93" s="394" t="n"/>
      <c r="G93" s="394" t="n"/>
      <c r="H93" s="394" t="n"/>
    </row>
    <row r="94">
      <c r="B94" s="394" t="n"/>
      <c r="C94" s="394" t="n"/>
      <c r="D94" s="394" t="n"/>
      <c r="E94" s="394" t="n"/>
      <c r="F94" s="394" t="n"/>
      <c r="G94" s="394" t="n"/>
      <c r="H94" s="394" t="n"/>
    </row>
    <row r="95">
      <c r="B95" s="394" t="n"/>
      <c r="C95" s="394" t="n"/>
      <c r="D95" s="394" t="n"/>
      <c r="E95" s="394" t="n"/>
      <c r="F95" s="394" t="n"/>
      <c r="G95" s="394" t="n"/>
      <c r="H95" s="394" t="n"/>
    </row>
    <row r="96">
      <c r="B96" s="394" t="n"/>
      <c r="C96" s="394" t="n"/>
      <c r="D96" s="394" t="n"/>
      <c r="E96" s="394" t="n"/>
      <c r="F96" s="394" t="n"/>
      <c r="G96" s="394" t="n"/>
      <c r="H96" s="394" t="n"/>
    </row>
    <row r="97">
      <c r="B97" s="394" t="n"/>
      <c r="C97" s="394" t="n"/>
      <c r="D97" s="394" t="n"/>
      <c r="E97" s="394" t="n"/>
      <c r="F97" s="394" t="n"/>
      <c r="G97" s="394" t="n"/>
      <c r="H97" s="394" t="n"/>
    </row>
    <row r="98">
      <c r="B98" s="394" t="n"/>
      <c r="C98" s="394" t="n"/>
      <c r="D98" s="394" t="n"/>
      <c r="E98" s="394" t="n"/>
      <c r="F98" s="394" t="n"/>
      <c r="G98" s="394" t="n"/>
      <c r="H98" s="394" t="n"/>
    </row>
    <row r="99">
      <c r="B99" s="394" t="n"/>
      <c r="C99" s="394" t="n"/>
      <c r="D99" s="394" t="n"/>
      <c r="E99" s="394" t="n"/>
      <c r="F99" s="394" t="n"/>
      <c r="G99" s="394" t="n"/>
      <c r="H99" s="394" t="n"/>
    </row>
    <row r="100">
      <c r="B100" s="394" t="n"/>
      <c r="C100" s="394" t="n"/>
      <c r="D100" s="394" t="n"/>
      <c r="E100" s="394" t="n"/>
      <c r="F100" s="394" t="n"/>
      <c r="G100" s="394" t="n"/>
      <c r="H100" s="394" t="n"/>
    </row>
    <row r="101">
      <c r="B101" s="394" t="n"/>
      <c r="C101" s="394" t="n"/>
      <c r="D101" s="394" t="n"/>
      <c r="E101" s="394" t="n"/>
      <c r="F101" s="394" t="n"/>
      <c r="G101" s="394" t="n"/>
      <c r="H101" s="394" t="n"/>
    </row>
    <row r="102">
      <c r="B102" s="394" t="n"/>
      <c r="C102" s="394" t="n"/>
      <c r="D102" s="394" t="n"/>
      <c r="E102" s="394" t="n"/>
      <c r="F102" s="394" t="n"/>
      <c r="G102" s="394" t="n"/>
      <c r="H102" s="394" t="n"/>
    </row>
    <row r="103">
      <c r="B103" s="394" t="n"/>
      <c r="C103" s="394" t="n"/>
      <c r="D103" s="394" t="n"/>
      <c r="E103" s="394" t="n"/>
      <c r="F103" s="394" t="n"/>
      <c r="G103" s="394" t="n"/>
      <c r="H103" s="394" t="n"/>
    </row>
    <row r="104">
      <c r="B104" s="394" t="n"/>
      <c r="C104" s="394" t="n"/>
      <c r="D104" s="394" t="n"/>
      <c r="E104" s="394" t="n"/>
      <c r="F104" s="394" t="n"/>
      <c r="G104" s="394" t="n"/>
      <c r="H104" s="394" t="n"/>
    </row>
    <row r="105">
      <c r="B105" s="394" t="n"/>
      <c r="C105" s="394" t="n"/>
      <c r="D105" s="394" t="n"/>
      <c r="E105" s="394" t="n"/>
      <c r="F105" s="394" t="n"/>
      <c r="G105" s="394" t="n"/>
      <c r="H105" s="394" t="n"/>
    </row>
    <row r="106">
      <c r="B106" s="394" t="n"/>
      <c r="C106" s="394" t="n"/>
      <c r="D106" s="394" t="n"/>
      <c r="E106" s="394" t="n"/>
      <c r="F106" s="394" t="n"/>
      <c r="G106" s="394" t="n"/>
      <c r="H106" s="394" t="n"/>
    </row>
    <row r="107">
      <c r="B107" s="394" t="n"/>
      <c r="C107" s="394" t="n"/>
      <c r="D107" s="394" t="n"/>
      <c r="E107" s="394" t="n"/>
      <c r="F107" s="394" t="n"/>
      <c r="G107" s="394" t="n"/>
      <c r="H107" s="394" t="n"/>
    </row>
    <row r="108">
      <c r="B108" s="394" t="n"/>
      <c r="C108" s="394" t="n"/>
      <c r="D108" s="394" t="n"/>
      <c r="E108" s="394" t="n"/>
      <c r="F108" s="394" t="n"/>
      <c r="G108" s="394" t="n"/>
      <c r="H108" s="394" t="n"/>
    </row>
    <row r="109">
      <c r="B109" s="394" t="n"/>
      <c r="C109" s="394" t="n"/>
      <c r="D109" s="394" t="n"/>
      <c r="E109" s="394" t="n"/>
      <c r="F109" s="394" t="n"/>
      <c r="G109" s="394" t="n"/>
      <c r="H109" s="394" t="n"/>
    </row>
    <row r="110">
      <c r="B110" s="394" t="n"/>
      <c r="C110" s="394" t="n"/>
      <c r="D110" s="394" t="n"/>
      <c r="E110" s="394" t="n"/>
      <c r="F110" s="394" t="n"/>
      <c r="G110" s="394" t="n"/>
      <c r="H110" s="394" t="n"/>
    </row>
    <row r="111">
      <c r="B111" s="394" t="n"/>
      <c r="C111" s="394" t="n"/>
      <c r="D111" s="394" t="n"/>
      <c r="E111" s="394" t="n"/>
      <c r="F111" s="394" t="n"/>
      <c r="G111" s="394" t="n"/>
      <c r="H111" s="394" t="n"/>
    </row>
    <row r="112">
      <c r="B112" s="394" t="n"/>
      <c r="C112" s="394" t="n"/>
      <c r="D112" s="394" t="n"/>
      <c r="E112" s="394" t="n"/>
      <c r="F112" s="394" t="n"/>
      <c r="G112" s="394" t="n"/>
      <c r="H112" s="394" t="n"/>
    </row>
    <row r="113">
      <c r="B113" s="394" t="n"/>
      <c r="C113" s="394" t="n"/>
      <c r="D113" s="394" t="n"/>
      <c r="E113" s="394" t="n"/>
      <c r="F113" s="394" t="n"/>
      <c r="G113" s="394" t="n"/>
      <c r="H113" s="394" t="n"/>
    </row>
    <row r="114">
      <c r="B114" s="394" t="n"/>
      <c r="C114" s="394" t="n"/>
      <c r="D114" s="394" t="n"/>
      <c r="E114" s="394" t="n"/>
      <c r="F114" s="394" t="n"/>
      <c r="G114" s="394" t="n"/>
      <c r="H114" s="394" t="n"/>
    </row>
    <row r="115">
      <c r="B115" s="394" t="n"/>
      <c r="C115" s="394" t="n"/>
      <c r="D115" s="394" t="n"/>
      <c r="E115" s="394" t="n"/>
      <c r="F115" s="394" t="n"/>
      <c r="G115" s="394" t="n"/>
      <c r="H115" s="394" t="n"/>
    </row>
    <row r="116">
      <c r="B116" s="394" t="n"/>
      <c r="C116" s="394" t="n"/>
      <c r="D116" s="394" t="n"/>
      <c r="E116" s="394" t="n"/>
      <c r="F116" s="394" t="n"/>
      <c r="G116" s="394" t="n"/>
      <c r="H116" s="394" t="n"/>
    </row>
    <row r="117">
      <c r="B117" s="394" t="n"/>
      <c r="C117" s="394" t="n"/>
      <c r="D117" s="394" t="n"/>
      <c r="E117" s="394" t="n"/>
      <c r="F117" s="394" t="n"/>
      <c r="G117" s="394" t="n"/>
      <c r="H117" s="394" t="n"/>
    </row>
    <row r="118">
      <c r="B118" s="394" t="n"/>
      <c r="C118" s="394" t="n"/>
      <c r="D118" s="394" t="n"/>
      <c r="E118" s="394" t="n"/>
      <c r="F118" s="394" t="n"/>
      <c r="G118" s="394" t="n"/>
      <c r="H118" s="394" t="n"/>
    </row>
    <row r="119">
      <c r="B119" s="394" t="n"/>
      <c r="C119" s="394" t="n"/>
      <c r="D119" s="394" t="n"/>
      <c r="E119" s="394" t="n"/>
      <c r="F119" s="394" t="n"/>
      <c r="G119" s="394" t="n"/>
      <c r="H119" s="394" t="n"/>
    </row>
    <row r="120">
      <c r="B120" s="394" t="n"/>
      <c r="C120" s="394" t="n"/>
      <c r="D120" s="394" t="n"/>
      <c r="E120" s="394" t="n"/>
      <c r="F120" s="394" t="n"/>
      <c r="G120" s="394" t="n"/>
      <c r="H120" s="394" t="n"/>
    </row>
    <row r="121">
      <c r="B121" s="394" t="n"/>
      <c r="C121" s="394" t="n"/>
      <c r="D121" s="394" t="n"/>
      <c r="E121" s="394" t="n"/>
      <c r="F121" s="394" t="n"/>
      <c r="G121" s="394" t="n"/>
      <c r="H121" s="394" t="n"/>
    </row>
    <row r="122">
      <c r="B122" s="394" t="n"/>
      <c r="C122" s="394" t="n"/>
      <c r="D122" s="394" t="n"/>
      <c r="E122" s="394" t="n"/>
      <c r="F122" s="394" t="n"/>
      <c r="G122" s="394" t="n"/>
      <c r="H122" s="394" t="n"/>
    </row>
    <row r="123">
      <c r="B123" s="394" t="n"/>
      <c r="C123" s="394" t="n"/>
      <c r="D123" s="394" t="n"/>
      <c r="E123" s="394" t="n"/>
      <c r="F123" s="394" t="n"/>
      <c r="G123" s="394" t="n"/>
      <c r="H123" s="394" t="n"/>
    </row>
    <row r="124">
      <c r="B124" s="394" t="n"/>
      <c r="C124" s="394" t="n"/>
      <c r="D124" s="394" t="n"/>
      <c r="E124" s="394" t="n"/>
      <c r="F124" s="394" t="n"/>
      <c r="G124" s="394" t="n"/>
      <c r="H124" s="394" t="n"/>
    </row>
    <row r="125">
      <c r="B125" s="394" t="n"/>
      <c r="C125" s="394" t="n"/>
      <c r="D125" s="394" t="n"/>
      <c r="E125" s="394" t="n"/>
      <c r="F125" s="394" t="n"/>
      <c r="G125" s="394" t="n"/>
      <c r="H125" s="394" t="n"/>
    </row>
    <row r="126">
      <c r="B126" s="394" t="n"/>
      <c r="C126" s="394" t="n"/>
      <c r="D126" s="394" t="n"/>
      <c r="E126" s="394" t="n"/>
      <c r="F126" s="394" t="n"/>
      <c r="G126" s="394" t="n"/>
      <c r="H126" s="394" t="n"/>
    </row>
    <row r="127">
      <c r="B127" s="394" t="n"/>
      <c r="C127" s="394" t="n"/>
      <c r="D127" s="394" t="n"/>
      <c r="E127" s="394" t="n"/>
      <c r="F127" s="394" t="n"/>
      <c r="G127" s="394" t="n"/>
      <c r="H127" s="394" t="n"/>
    </row>
    <row r="128">
      <c r="B128" s="394" t="n"/>
      <c r="C128" s="394" t="n"/>
      <c r="D128" s="394" t="n"/>
      <c r="E128" s="394" t="n"/>
      <c r="F128" s="394" t="n"/>
      <c r="G128" s="394" t="n"/>
      <c r="H128" s="394" t="n"/>
    </row>
    <row r="129">
      <c r="B129" s="394" t="n"/>
      <c r="C129" s="394" t="n"/>
      <c r="D129" s="394" t="n"/>
      <c r="E129" s="394" t="n"/>
      <c r="F129" s="394" t="n"/>
      <c r="G129" s="394" t="n"/>
      <c r="H129" s="394" t="n"/>
    </row>
    <row r="130">
      <c r="B130" s="394" t="n"/>
      <c r="C130" s="394" t="n"/>
      <c r="D130" s="394" t="n"/>
      <c r="E130" s="394" t="n"/>
      <c r="F130" s="394" t="n"/>
      <c r="G130" s="394" t="n"/>
      <c r="H130" s="394" t="n"/>
    </row>
    <row r="131">
      <c r="B131" s="394" t="n"/>
      <c r="C131" s="394" t="n"/>
      <c r="D131" s="394" t="n"/>
      <c r="E131" s="394" t="n"/>
      <c r="F131" s="394" t="n"/>
      <c r="G131" s="394" t="n"/>
      <c r="H131" s="394" t="n"/>
    </row>
  </sheetData>
  <mergeCells count="1">
    <mergeCell ref="B2:F2"/>
  </mergeCells>
  <dataValidations count="1">
    <dataValidation sqref="F3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1181102362204725" right="0.1181102362204725" top="0.3149606299212598" bottom="0.5118110236220472" header="0" footer="0.3149606299212598"/>
  <pageSetup orientation="landscape" paperSize="11"/>
  <headerFooter>
    <oddHeader>&amp;L&amp;G&amp;R&amp;8 Perkins Engines Company Limited_x000a_Tixall Road_x000a_Stafford_x000a_ST16 3UB_x000a_United Kingdom_x000a__x000a_Tel: +44 (0)1785 215 700_x000a_Fax: +44 (0)1785 215 110</oddHeader>
    <oddFooter>&amp;C&amp;8 Test Bed Calibration Results page &amp;P of &amp;N&amp;R&amp;"Calibri"&amp;11&amp;K000000&amp;"Calibri,Regular"&amp;K000000&amp;F&amp;8&amp;K000000_x000d_&amp;1#&amp;"Calibri"&amp;10 &amp;K737373&amp;D&amp;LCaterpillar: Confidential Green</oddFooter>
    <evenHeader/>
    <evenFooter/>
    <firstHeader/>
    <firstFooter>&amp;L&amp;"Calibri"&amp;10 &amp;K737373#Caterpillar: Confidential Green</firstFooter>
  </headerFooter>
</worksheet>
</file>

<file path=xl/worksheets/sheet2.xml><?xml version="1.0" encoding="utf-8"?>
<worksheet xmlns="http://schemas.openxmlformats.org/spreadsheetml/2006/main">
  <sheetPr codeName="Sheet18">
    <tabColor rgb="FF00FF00"/>
    <outlinePr summaryBelow="1" summaryRight="1"/>
    <pageSetUpPr fitToPage="1"/>
  </sheetPr>
  <dimension ref="A1:X63"/>
  <sheetViews>
    <sheetView showGridLines="0" tabSelected="1" zoomScaleNormal="100" workbookViewId="0">
      <selection activeCell="X66" sqref="X66"/>
    </sheetView>
  </sheetViews>
  <sheetFormatPr baseColWidth="8" defaultColWidth="8.81640625" defaultRowHeight="12.5"/>
  <cols>
    <col width="3.54296875" customWidth="1" style="394" min="1" max="2"/>
    <col width="12.54296875" customWidth="1" style="394" min="3" max="4"/>
    <col width="7.54296875" customWidth="1" style="394" min="5" max="5"/>
    <col width="8.54296875" customWidth="1" style="394" min="6" max="16"/>
    <col width="9" customWidth="1" style="394" min="17" max="17"/>
    <col width="7.6328125" customWidth="1" style="394" min="18" max="19"/>
    <col width="7.54296875" customWidth="1" style="394" min="20" max="20"/>
    <col width="8.453125" bestFit="1" customWidth="1" style="394" min="21" max="21"/>
    <col width="10" customWidth="1" style="394" min="22" max="22"/>
    <col width="10" customWidth="1" style="193" min="23" max="23"/>
    <col width="4.81640625" customWidth="1" style="394" min="24" max="24"/>
    <col width="8.81640625" customWidth="1" style="394" min="25" max="16384"/>
  </cols>
  <sheetData>
    <row r="1" ht="25" customHeight="1">
      <c r="A1" s="287" t="inlineStr">
        <is>
          <t>Test Bed Calibration Report</t>
        </is>
      </c>
      <c r="B1" s="461" t="n"/>
      <c r="C1" s="461" t="n"/>
      <c r="D1" s="461" t="n"/>
      <c r="E1" s="461" t="n"/>
      <c r="F1" s="461" t="n"/>
      <c r="G1" s="461" t="n"/>
      <c r="H1" s="461" t="n"/>
      <c r="I1" s="461" t="n"/>
      <c r="J1" s="461" t="n"/>
      <c r="K1" s="461" t="n"/>
      <c r="L1" s="461" t="n"/>
      <c r="M1" s="461" t="n"/>
      <c r="N1" s="461" t="n"/>
      <c r="O1" s="461" t="n"/>
      <c r="P1" s="461" t="n"/>
      <c r="Q1" s="461" t="n"/>
      <c r="R1" s="461" t="n"/>
      <c r="S1" s="461" t="n"/>
      <c r="T1" s="461" t="n"/>
      <c r="U1" s="461" t="n"/>
      <c r="V1" s="461" t="n"/>
      <c r="W1" s="288" t="n"/>
      <c r="X1" s="212" t="n"/>
    </row>
    <row r="2" ht="15" customFormat="1" customHeight="1" s="383">
      <c r="A2" s="382" t="n"/>
      <c r="B2" s="382" t="n"/>
      <c r="C2" s="214" t="n"/>
      <c r="D2" s="214" t="n"/>
      <c r="E2" s="215" t="n"/>
      <c r="F2" s="214" t="n"/>
      <c r="G2" s="382" t="n"/>
      <c r="H2" s="214" t="n"/>
      <c r="I2" s="214" t="n"/>
      <c r="J2" s="214" t="n"/>
      <c r="K2" s="214" t="n"/>
      <c r="L2" s="212" t="n"/>
      <c r="M2" s="214" t="n"/>
      <c r="N2" s="214" t="n"/>
      <c r="O2" s="214" t="n"/>
      <c r="P2" s="214" t="n"/>
      <c r="Q2" s="212" t="n"/>
      <c r="R2" s="212" t="n"/>
      <c r="S2" s="212" t="n"/>
      <c r="T2" s="212" t="n"/>
      <c r="U2" s="214" t="n"/>
      <c r="V2" s="214" t="n"/>
      <c r="W2" s="214" t="n"/>
      <c r="X2" s="212" t="n"/>
    </row>
    <row r="3" ht="15" customFormat="1" customHeight="1" s="383">
      <c r="A3" s="289" t="inlineStr">
        <is>
          <t>This form is to be completed after carrying out bed calibrations.</t>
        </is>
      </c>
      <c r="B3" s="461" t="n"/>
      <c r="C3" s="461" t="n"/>
      <c r="D3" s="461" t="n"/>
      <c r="E3" s="461" t="n"/>
      <c r="F3" s="461" t="n"/>
      <c r="G3" s="461" t="n"/>
      <c r="H3" s="461" t="n"/>
      <c r="I3" s="461" t="n"/>
      <c r="J3" s="461" t="n"/>
      <c r="K3" s="461" t="n"/>
      <c r="L3" s="461" t="n"/>
      <c r="M3" s="461" t="n"/>
      <c r="N3" s="461" t="n"/>
      <c r="O3" s="461" t="n"/>
      <c r="P3" s="461" t="n"/>
      <c r="Q3" s="461" t="n"/>
      <c r="R3" s="461" t="n"/>
      <c r="S3" s="461" t="n"/>
      <c r="T3" s="461" t="n"/>
      <c r="U3" s="461" t="n"/>
      <c r="V3" s="461" t="n"/>
      <c r="W3" s="290" t="n"/>
      <c r="X3" s="212" t="n"/>
    </row>
    <row r="4" ht="15" customFormat="1" customHeight="1" s="383">
      <c r="A4" s="289" t="inlineStr">
        <is>
          <t>Any channel not within its acceptable deviation should be reported on this sheet.</t>
        </is>
      </c>
      <c r="B4" s="461" t="n"/>
      <c r="C4" s="461" t="n"/>
      <c r="D4" s="461" t="n"/>
      <c r="E4" s="461" t="n"/>
      <c r="F4" s="461" t="n"/>
      <c r="G4" s="461" t="n"/>
      <c r="H4" s="461" t="n"/>
      <c r="I4" s="461" t="n"/>
      <c r="J4" s="461" t="n"/>
      <c r="K4" s="461" t="n"/>
      <c r="L4" s="461" t="n"/>
      <c r="M4" s="461" t="n"/>
      <c r="N4" s="461" t="n"/>
      <c r="O4" s="461" t="n"/>
      <c r="P4" s="461" t="n"/>
      <c r="Q4" s="461" t="n"/>
      <c r="R4" s="461" t="n"/>
      <c r="S4" s="461" t="n"/>
      <c r="T4" s="461" t="n"/>
      <c r="U4" s="461" t="n"/>
      <c r="V4" s="461" t="n"/>
      <c r="W4" s="290" t="n"/>
      <c r="X4" s="212" t="n"/>
    </row>
    <row r="5" ht="15" customFormat="1" customHeight="1" s="383" thickBot="1">
      <c r="A5" s="212" t="n"/>
      <c r="B5" s="212" t="n"/>
      <c r="C5" s="212" t="n"/>
      <c r="D5" s="212" t="n"/>
      <c r="E5" s="215" t="n"/>
      <c r="F5" s="212" t="n"/>
      <c r="G5" s="212" t="n"/>
      <c r="H5" s="212" t="n"/>
      <c r="I5" s="212" t="n"/>
      <c r="J5" s="212" t="n"/>
      <c r="K5" s="212" t="n"/>
      <c r="L5" s="212" t="n"/>
      <c r="M5" s="212" t="n"/>
      <c r="N5" s="212" t="n"/>
      <c r="O5" s="212" t="n"/>
      <c r="P5" s="212" t="n"/>
      <c r="Q5" s="212" t="n"/>
      <c r="R5" s="212" t="n"/>
      <c r="S5" s="212" t="n"/>
      <c r="T5" s="212" t="n"/>
      <c r="U5" s="212" t="n"/>
      <c r="V5" s="212" t="n"/>
      <c r="W5" s="212" t="n"/>
      <c r="X5" s="212" t="n"/>
    </row>
    <row r="6" ht="14.5" customFormat="1" customHeight="1" s="383" thickBot="1">
      <c r="A6" s="382" t="n"/>
      <c r="B6" s="382" t="n"/>
      <c r="D6" s="214" t="inlineStr">
        <is>
          <t xml:space="preserve">Job No. </t>
        </is>
      </c>
      <c r="E6" s="194">
        <f>Title!C4</f>
        <v/>
      </c>
      <c r="I6" s="383" t="n"/>
      <c r="J6" s="383" t="n"/>
      <c r="K6" s="383" t="n"/>
      <c r="L6" s="215" t="n"/>
      <c r="N6" s="214" t="n"/>
      <c r="O6" s="214" t="n"/>
      <c r="P6" s="214" t="inlineStr">
        <is>
          <t xml:space="preserve">Author. </t>
        </is>
      </c>
      <c r="Q6" s="470">
        <f>Title!C3</f>
        <v/>
      </c>
      <c r="R6" s="471" t="n"/>
      <c r="S6" s="471" t="n"/>
      <c r="T6" s="471" t="n"/>
      <c r="U6" s="472" t="n"/>
      <c r="X6" s="212" t="n"/>
    </row>
    <row r="7" ht="15" customFormat="1" customHeight="1" s="383" thickBot="1">
      <c r="A7" s="382" t="n"/>
      <c r="B7" s="382" t="n"/>
      <c r="C7" s="214" t="n"/>
      <c r="D7" s="214" t="n"/>
      <c r="E7" s="215" t="n"/>
      <c r="F7" s="214" t="n"/>
      <c r="G7" s="382" t="n"/>
      <c r="H7" s="214" t="n"/>
      <c r="I7" s="214" t="n"/>
      <c r="J7" s="214" t="n"/>
      <c r="K7" s="214" t="n"/>
      <c r="L7" s="212" t="n"/>
      <c r="M7" s="214" t="n"/>
      <c r="N7" s="214" t="n"/>
      <c r="O7" s="214" t="n"/>
      <c r="P7" s="214" t="n"/>
      <c r="Q7" s="212" t="n"/>
      <c r="R7" s="212" t="n"/>
      <c r="S7" s="212" t="n"/>
      <c r="T7" s="212" t="n"/>
      <c r="U7" s="214" t="n"/>
      <c r="V7" s="214" t="n"/>
      <c r="W7" s="214" t="n"/>
      <c r="X7" s="212" t="n"/>
    </row>
    <row r="8" ht="15" customFormat="1" customHeight="1" s="383" thickBot="1">
      <c r="A8" s="382" t="n"/>
      <c r="B8" s="382" t="n"/>
      <c r="D8" s="214" t="inlineStr">
        <is>
          <t xml:space="preserve">Date Report Completed: </t>
        </is>
      </c>
      <c r="E8" s="473" t="n">
        <v>44907</v>
      </c>
      <c r="F8" s="472" t="n"/>
      <c r="G8" s="214" t="n"/>
      <c r="H8" s="214" t="n"/>
      <c r="I8" s="214" t="n"/>
      <c r="J8" s="382" t="n"/>
      <c r="K8" s="382" t="n"/>
      <c r="L8" s="382" t="n"/>
      <c r="M8" s="382" t="n"/>
      <c r="N8" s="214" t="n"/>
      <c r="O8" s="214" t="n"/>
      <c r="P8" s="214" t="inlineStr">
        <is>
          <t xml:space="preserve">Bed No. </t>
        </is>
      </c>
      <c r="Q8" s="474">
        <f>Title!F3</f>
        <v/>
      </c>
      <c r="R8" s="471" t="n"/>
      <c r="S8" s="471" t="n"/>
      <c r="T8" s="471" t="n"/>
      <c r="U8" s="471" t="n"/>
      <c r="V8" s="472" t="n"/>
      <c r="W8" s="259" t="n"/>
      <c r="X8" s="212" t="n"/>
    </row>
    <row r="9" ht="15" customFormat="1" customHeight="1" s="383" thickBot="1">
      <c r="A9" s="382" t="n"/>
      <c r="B9" s="382" t="n"/>
      <c r="C9" s="214" t="n"/>
      <c r="D9" s="214" t="n"/>
      <c r="E9" s="215" t="n"/>
      <c r="F9" s="214" t="n"/>
      <c r="G9" s="382" t="n"/>
      <c r="H9" s="214" t="n"/>
      <c r="I9" s="214" t="n"/>
      <c r="J9" s="214" t="n"/>
      <c r="K9" s="214" t="n"/>
      <c r="L9" s="214" t="n"/>
      <c r="M9" s="214" t="n"/>
      <c r="N9" s="214" t="n"/>
      <c r="O9" s="214" t="n"/>
      <c r="P9" s="214" t="n"/>
      <c r="Q9" s="212" t="n"/>
      <c r="R9" s="212" t="n"/>
      <c r="S9" s="212" t="n"/>
      <c r="T9" s="212" t="n"/>
      <c r="U9" s="214" t="n"/>
      <c r="V9" s="214" t="n"/>
      <c r="W9" s="214" t="n"/>
      <c r="X9" s="212" t="n"/>
    </row>
    <row r="10" ht="15" customFormat="1" customHeight="1" s="383" thickBot="1">
      <c r="A10" s="215" t="n"/>
      <c r="B10" s="215" t="n"/>
      <c r="C10" s="475" t="inlineStr">
        <is>
          <t>OUTSIDE ACCEPTABLE DEVIATION.</t>
        </is>
      </c>
      <c r="D10" s="476" t="n"/>
      <c r="E10" s="476" t="n"/>
      <c r="F10" s="476" t="n"/>
      <c r="G10" s="476" t="n"/>
      <c r="H10" s="476" t="n"/>
      <c r="I10" s="476" t="n"/>
      <c r="J10" s="476" t="n"/>
      <c r="K10" s="476" t="n"/>
      <c r="L10" s="476" t="n"/>
      <c r="M10" s="476" t="n"/>
      <c r="N10" s="476" t="n"/>
      <c r="O10" s="476" t="n"/>
      <c r="P10" s="476" t="n"/>
      <c r="Q10" s="476" t="n"/>
      <c r="R10" s="476" t="n"/>
      <c r="S10" s="476" t="n"/>
      <c r="T10" s="476" t="n"/>
      <c r="U10" s="476" t="n"/>
      <c r="V10" s="477" t="n"/>
      <c r="W10" s="406" t="n"/>
      <c r="X10" s="212" t="n"/>
    </row>
    <row r="11" ht="15" customFormat="1" customHeight="1" s="383" thickBot="1">
      <c r="A11" s="215" t="n"/>
      <c r="B11" s="215" t="n"/>
      <c r="C11" s="301" t="inlineStr">
        <is>
          <t>Channel Name</t>
        </is>
      </c>
      <c r="D11" s="477" t="n"/>
      <c r="E11" s="301" t="inlineStr">
        <is>
          <t>Position</t>
        </is>
      </c>
      <c r="F11" s="248" t="inlineStr">
        <is>
          <t>Acc Dev.</t>
        </is>
      </c>
      <c r="G11" s="301" t="inlineStr">
        <is>
          <t>Units</t>
        </is>
      </c>
      <c r="H11" s="478" t="inlineStr">
        <is>
          <t>Expected</t>
        </is>
      </c>
      <c r="I11" s="476" t="n"/>
      <c r="J11" s="476" t="n"/>
      <c r="K11" s="476" t="n"/>
      <c r="L11" s="477" t="n"/>
      <c r="M11" s="303" t="inlineStr">
        <is>
          <t>As Found</t>
        </is>
      </c>
      <c r="N11" s="476" t="n"/>
      <c r="O11" s="476" t="n"/>
      <c r="P11" s="476" t="n"/>
      <c r="Q11" s="477" t="n"/>
      <c r="R11" s="478" t="inlineStr">
        <is>
          <t>As Released</t>
        </is>
      </c>
      <c r="S11" s="476" t="n"/>
      <c r="T11" s="476" t="n"/>
      <c r="U11" s="476" t="n"/>
      <c r="V11" s="477" t="n"/>
      <c r="W11" s="215" t="n"/>
      <c r="X11" s="212" t="n"/>
    </row>
    <row r="12" ht="15" customFormat="1" customHeight="1" s="383" thickBot="1">
      <c r="A12" s="215" t="n"/>
      <c r="B12" s="215" t="n"/>
      <c r="C12" s="479" t="inlineStr">
        <is>
          <t>Pressure Channels - Acceptable Deviation : 0.2% full Scale. Adjust if error &gt;80% accepted tolerance.</t>
        </is>
      </c>
      <c r="D12" s="476" t="n"/>
      <c r="E12" s="476" t="n"/>
      <c r="F12" s="476" t="n"/>
      <c r="G12" s="476" t="n"/>
      <c r="H12" s="476" t="n"/>
      <c r="I12" s="476" t="n"/>
      <c r="J12" s="476" t="n"/>
      <c r="K12" s="476" t="n"/>
      <c r="L12" s="476" t="n"/>
      <c r="M12" s="476" t="n"/>
      <c r="N12" s="476" t="n"/>
      <c r="O12" s="476" t="n"/>
      <c r="P12" s="476" t="n"/>
      <c r="Q12" s="476" t="n"/>
      <c r="R12" s="476" t="n"/>
      <c r="S12" s="476" t="n"/>
      <c r="T12" s="476" t="n"/>
      <c r="U12" s="476" t="n"/>
      <c r="V12" s="477" t="n"/>
      <c r="W12" s="215" t="n"/>
      <c r="X12" s="212" t="n"/>
    </row>
    <row r="13" ht="15" customFormat="1" customHeight="1" s="383" thickBot="1">
      <c r="A13" s="215" t="n"/>
      <c r="B13" s="220" t="n">
        <v>1</v>
      </c>
      <c r="C13" s="16" t="inlineStr">
        <is>
          <t>Air P Horn 1</t>
        </is>
      </c>
      <c r="D13" s="472" t="n"/>
      <c r="E13" s="227" t="inlineStr">
        <is>
          <t>PTX1</t>
        </is>
      </c>
      <c r="F13" s="254" t="n">
        <v>0.04</v>
      </c>
      <c r="G13" s="255" t="inlineStr">
        <is>
          <t>kPa</t>
        </is>
      </c>
      <c r="H13" s="257" t="n">
        <v>-19.6</v>
      </c>
      <c r="I13" s="257" t="n">
        <v>-15</v>
      </c>
      <c r="J13" s="257" t="n">
        <v>-10</v>
      </c>
      <c r="K13" s="257" t="n">
        <v>-5</v>
      </c>
      <c r="L13" s="257" t="n">
        <v>0</v>
      </c>
      <c r="M13" s="480" t="n">
        <v>-19.67</v>
      </c>
      <c r="N13" s="481" t="n">
        <v>-15.07</v>
      </c>
      <c r="O13" s="481" t="n">
        <v>-10.07</v>
      </c>
      <c r="P13" s="481" t="n">
        <v>-5.09</v>
      </c>
      <c r="Q13" s="482" t="n">
        <v>-1</v>
      </c>
      <c r="R13" s="258" t="n">
        <v>-19.59</v>
      </c>
      <c r="S13" s="258" t="n">
        <v>-14.99</v>
      </c>
      <c r="T13" s="258" t="n">
        <v>-9.98</v>
      </c>
      <c r="U13" s="258" t="n">
        <v>-4.99</v>
      </c>
      <c r="V13" s="258" t="n">
        <v>0</v>
      </c>
      <c r="W13" s="221" t="n"/>
      <c r="X13" s="212" t="n"/>
    </row>
    <row r="14" ht="15" customFormat="1" customHeight="1" s="383" thickBot="1">
      <c r="A14" s="215" t="n"/>
      <c r="B14" s="222" t="n">
        <v>2</v>
      </c>
      <c r="C14" s="16" t="inlineStr">
        <is>
          <t>Air P Horn 3</t>
        </is>
      </c>
      <c r="D14" s="472" t="n"/>
      <c r="E14" s="227" t="inlineStr">
        <is>
          <t>PTX2</t>
        </is>
      </c>
      <c r="F14" s="254" t="n">
        <v>0.04</v>
      </c>
      <c r="G14" s="255" t="inlineStr">
        <is>
          <t>kPa</t>
        </is>
      </c>
      <c r="H14" s="257" t="n">
        <v>-19.6</v>
      </c>
      <c r="I14" s="257" t="n">
        <v>-15</v>
      </c>
      <c r="J14" s="257" t="n">
        <v>-10</v>
      </c>
      <c r="K14" s="257" t="n">
        <v>-5</v>
      </c>
      <c r="L14" s="257" t="n">
        <v>0</v>
      </c>
      <c r="M14" s="483" t="n">
        <v>-19.65</v>
      </c>
      <c r="N14" s="480" t="n">
        <v>-15.02</v>
      </c>
      <c r="O14" s="480" t="n">
        <v>-10.02</v>
      </c>
      <c r="P14" s="480" t="n">
        <v>-5.02</v>
      </c>
      <c r="Q14" s="480" t="n">
        <v>0</v>
      </c>
      <c r="R14" s="258" t="n">
        <v>-19.59</v>
      </c>
      <c r="S14" s="258" t="n">
        <v>-14.99</v>
      </c>
      <c r="T14" s="258" t="n">
        <v>-9.98</v>
      </c>
      <c r="U14" s="258" t="n">
        <v>-4.99</v>
      </c>
      <c r="V14" s="258" t="n">
        <v>0</v>
      </c>
      <c r="W14" s="221" t="n"/>
      <c r="X14" s="212" t="n"/>
    </row>
    <row r="15" ht="15" customFormat="1" customHeight="1" s="383" thickBot="1">
      <c r="A15" s="382" t="n"/>
      <c r="B15" s="222" t="n">
        <v>3</v>
      </c>
      <c r="C15" s="16" t="inlineStr">
        <is>
          <t>Air P TC1 In</t>
        </is>
      </c>
      <c r="D15" s="472" t="n"/>
      <c r="E15" s="227" t="inlineStr">
        <is>
          <t>PTX3</t>
        </is>
      </c>
      <c r="F15" s="254" t="n">
        <v>0.04</v>
      </c>
      <c r="G15" s="255" t="inlineStr">
        <is>
          <t>kPa</t>
        </is>
      </c>
      <c r="H15" s="257" t="n">
        <v>-19.6</v>
      </c>
      <c r="I15" s="257" t="n">
        <v>-15</v>
      </c>
      <c r="J15" s="257" t="n">
        <v>-10</v>
      </c>
      <c r="K15" s="257" t="n">
        <v>-5</v>
      </c>
      <c r="L15" s="257" t="n">
        <v>0</v>
      </c>
      <c r="M15" s="483" t="n">
        <v>-19.65</v>
      </c>
      <c r="N15" s="480" t="n">
        <v>-15.03</v>
      </c>
      <c r="O15" s="480" t="n">
        <v>-10.03</v>
      </c>
      <c r="P15" s="480" t="n">
        <v>-5.02</v>
      </c>
      <c r="Q15" s="480" t="n">
        <v>0</v>
      </c>
      <c r="R15" s="258" t="n">
        <v>-19.59</v>
      </c>
      <c r="S15" s="258" t="n">
        <v>-14.99</v>
      </c>
      <c r="T15" s="258" t="n">
        <v>-9.99</v>
      </c>
      <c r="U15" s="258" t="n">
        <v>-4.99</v>
      </c>
      <c r="V15" s="258" t="n">
        <v>0</v>
      </c>
      <c r="W15" s="221" t="n"/>
      <c r="X15" s="212" t="n"/>
    </row>
    <row r="16" ht="15" customFormat="1" customHeight="1" s="383" thickBot="1">
      <c r="A16" s="212" t="n"/>
      <c r="B16" s="222" t="n">
        <v>4</v>
      </c>
      <c r="C16" s="16" t="inlineStr">
        <is>
          <t>Fuel P Eng Filter In</t>
        </is>
      </c>
      <c r="D16" s="472" t="n"/>
      <c r="E16" s="227" t="inlineStr">
        <is>
          <t>PTX9</t>
        </is>
      </c>
      <c r="F16" s="254" t="n">
        <v>0.67</v>
      </c>
      <c r="G16" s="255" t="inlineStr">
        <is>
          <t>kPa</t>
        </is>
      </c>
      <c r="H16" s="257" t="n">
        <v>-34.3</v>
      </c>
      <c r="I16" s="257" t="n">
        <v>0</v>
      </c>
      <c r="J16" s="257" t="n">
        <v>99</v>
      </c>
      <c r="K16" s="257" t="n">
        <v>198</v>
      </c>
      <c r="L16" s="257" t="n">
        <v>294</v>
      </c>
      <c r="M16" s="484" t="n">
        <v>-33.72</v>
      </c>
      <c r="N16" s="480" t="n">
        <v>0.5</v>
      </c>
      <c r="O16" s="480" t="n">
        <v>99.45</v>
      </c>
      <c r="P16" s="480" t="n">
        <v>198.36</v>
      </c>
      <c r="Q16" s="483" t="n">
        <v>348</v>
      </c>
      <c r="R16" s="258" t="n">
        <v>-34.32</v>
      </c>
      <c r="S16" s="258" t="n">
        <v>0</v>
      </c>
      <c r="T16" s="258" t="n">
        <v>99</v>
      </c>
      <c r="U16" s="258" t="n">
        <v>197.93</v>
      </c>
      <c r="V16" s="258" t="n">
        <v>294</v>
      </c>
      <c r="W16" s="221" t="n"/>
      <c r="X16" s="212" t="n"/>
    </row>
    <row r="17" ht="15" customFormat="1" customHeight="1" s="383" thickBot="1">
      <c r="A17" s="382" t="n"/>
      <c r="B17" s="222" t="n">
        <v>5</v>
      </c>
      <c r="C17" s="16" t="inlineStr">
        <is>
          <t>Fuel P Eng Rtn A</t>
        </is>
      </c>
      <c r="D17" s="472" t="n"/>
      <c r="E17" s="227" t="inlineStr">
        <is>
          <t>PTX13</t>
        </is>
      </c>
      <c r="F17" s="254" t="n">
        <v>1.2</v>
      </c>
      <c r="G17" s="255" t="inlineStr">
        <is>
          <t>kPa</t>
        </is>
      </c>
      <c r="H17" s="257" t="n">
        <v>0</v>
      </c>
      <c r="I17" s="257" t="n">
        <v>150</v>
      </c>
      <c r="J17" s="257" t="n">
        <v>300</v>
      </c>
      <c r="K17" s="257" t="n">
        <v>450</v>
      </c>
      <c r="L17" s="257" t="n">
        <v>588</v>
      </c>
      <c r="M17" s="480" t="n">
        <v>0</v>
      </c>
      <c r="N17" s="483" t="n">
        <v>145.83</v>
      </c>
      <c r="O17" s="483" t="n">
        <v>296.89</v>
      </c>
      <c r="P17" s="483" t="n">
        <v>446.88</v>
      </c>
      <c r="Q17" s="483" t="n">
        <v>584.86</v>
      </c>
      <c r="R17" s="258" t="n">
        <v>0</v>
      </c>
      <c r="S17" s="258" t="n">
        <v>150</v>
      </c>
      <c r="T17" s="258" t="n">
        <v>299.96</v>
      </c>
      <c r="U17" s="258" t="n">
        <v>450</v>
      </c>
      <c r="V17" s="258" t="n">
        <v>587.92</v>
      </c>
      <c r="W17" s="221" t="n"/>
      <c r="X17" s="212" t="n"/>
    </row>
    <row r="18" ht="15" customFormat="1" customHeight="1" s="383" thickBot="1">
      <c r="A18" s="382" t="n"/>
      <c r="B18" s="222" t="n">
        <v>6</v>
      </c>
      <c r="C18" s="16" t="inlineStr">
        <is>
          <t>Exh P TC1 In</t>
        </is>
      </c>
      <c r="D18" s="472" t="n"/>
      <c r="E18" s="227" t="inlineStr">
        <is>
          <t>PTX14</t>
        </is>
      </c>
      <c r="F18" s="254" t="n">
        <v>1.2</v>
      </c>
      <c r="G18" s="255" t="inlineStr">
        <is>
          <t>kPa</t>
        </is>
      </c>
      <c r="H18" s="257" t="n">
        <v>0</v>
      </c>
      <c r="I18" s="257" t="n">
        <v>150</v>
      </c>
      <c r="J18" s="257" t="n">
        <v>300</v>
      </c>
      <c r="K18" s="257" t="n">
        <v>450</v>
      </c>
      <c r="L18" s="257" t="n">
        <v>588</v>
      </c>
      <c r="M18" s="480" t="n">
        <v>0</v>
      </c>
      <c r="N18" s="483" t="n">
        <v>148.16</v>
      </c>
      <c r="O18" s="480" t="n">
        <v>299.62</v>
      </c>
      <c r="P18" s="480" t="n">
        <v>449.43</v>
      </c>
      <c r="Q18" s="480" t="n">
        <v>587.42</v>
      </c>
      <c r="R18" s="258" t="n">
        <v>0</v>
      </c>
      <c r="S18" s="258" t="n">
        <v>149.92</v>
      </c>
      <c r="T18" s="258" t="n">
        <v>299.81</v>
      </c>
      <c r="U18" s="258" t="n">
        <v>449.69</v>
      </c>
      <c r="V18" s="258" t="n">
        <v>587.84</v>
      </c>
      <c r="W18" s="221" t="n"/>
      <c r="X18" s="212" t="n"/>
    </row>
    <row r="19" ht="15" customFormat="1" customHeight="1" s="383" thickBot="1">
      <c r="A19" s="382" t="n"/>
      <c r="B19" s="222" t="n">
        <v>7</v>
      </c>
      <c r="C19" s="16" t="inlineStr">
        <is>
          <t>Exh P TC3 In</t>
        </is>
      </c>
      <c r="D19" s="472" t="n"/>
      <c r="E19" s="227" t="inlineStr">
        <is>
          <t>PTX15</t>
        </is>
      </c>
      <c r="F19" s="254" t="n">
        <v>1.2</v>
      </c>
      <c r="G19" s="255" t="inlineStr">
        <is>
          <t>kPa</t>
        </is>
      </c>
      <c r="H19" s="257" t="n">
        <v>0</v>
      </c>
      <c r="I19" s="257" t="n">
        <v>150</v>
      </c>
      <c r="J19" s="257" t="n">
        <v>300</v>
      </c>
      <c r="K19" s="257" t="n">
        <v>450</v>
      </c>
      <c r="L19" s="257" t="n">
        <v>588</v>
      </c>
      <c r="M19" s="480" t="n">
        <v>0</v>
      </c>
      <c r="N19" s="483" t="n">
        <v>146.29</v>
      </c>
      <c r="O19" s="483" t="n">
        <v>298.35</v>
      </c>
      <c r="P19" s="483" t="n">
        <v>448.23</v>
      </c>
      <c r="Q19" s="483" t="n">
        <v>586.14</v>
      </c>
      <c r="R19" s="258" t="n">
        <v>0</v>
      </c>
      <c r="S19" s="258" t="n">
        <v>149.717</v>
      </c>
      <c r="T19" s="258" t="n">
        <v>299.96</v>
      </c>
      <c r="U19" s="258" t="n">
        <v>450.03</v>
      </c>
      <c r="V19" s="258" t="n">
        <v>588.11</v>
      </c>
      <c r="W19" s="221" t="n"/>
      <c r="X19" s="212" t="n"/>
    </row>
    <row r="20" ht="15" customFormat="1" customHeight="1" s="383" thickBot="1">
      <c r="A20" s="382" t="n"/>
      <c r="B20" s="222" t="n">
        <v>8</v>
      </c>
      <c r="C20" s="16" t="inlineStr">
        <is>
          <t>Exh P TC1 Out</t>
        </is>
      </c>
      <c r="D20" s="472" t="n"/>
      <c r="E20" s="227" t="inlineStr">
        <is>
          <t>PTX16</t>
        </is>
      </c>
      <c r="F20" s="254" t="n">
        <v>0.14</v>
      </c>
      <c r="G20" s="255" t="inlineStr">
        <is>
          <t>kPa</t>
        </is>
      </c>
      <c r="H20" s="257" t="n">
        <v>-34.3</v>
      </c>
      <c r="I20" s="257" t="n">
        <v>-17.5</v>
      </c>
      <c r="J20" s="257" t="n">
        <v>0</v>
      </c>
      <c r="K20" s="257" t="n">
        <v>17.5</v>
      </c>
      <c r="L20" s="257" t="n">
        <v>34.3</v>
      </c>
      <c r="M20" s="483" t="n">
        <v>-34.23</v>
      </c>
      <c r="N20" s="480" t="n">
        <v>-17.46</v>
      </c>
      <c r="O20" s="480" t="n">
        <v>0.07000000000000001</v>
      </c>
      <c r="P20" s="480" t="n">
        <v>17.53</v>
      </c>
      <c r="Q20" s="480" t="n">
        <v>34.34</v>
      </c>
      <c r="R20" s="258" t="n">
        <v>-34.29</v>
      </c>
      <c r="S20" s="258" t="n">
        <v>-17.49</v>
      </c>
      <c r="T20" s="258" t="n">
        <v>-0.01</v>
      </c>
      <c r="U20" s="258" t="n">
        <v>17.5</v>
      </c>
      <c r="V20" s="258" t="n">
        <v>34.29</v>
      </c>
      <c r="W20" s="221" t="n"/>
      <c r="X20" s="212" t="n"/>
    </row>
    <row r="21" ht="15" customFormat="1" customHeight="1" s="383" thickBot="1">
      <c r="A21" s="382" t="n"/>
      <c r="B21" s="222" t="n">
        <v>9</v>
      </c>
      <c r="C21" s="16" t="inlineStr">
        <is>
          <t>Lub Oil P Cooler A In</t>
        </is>
      </c>
      <c r="D21" s="472" t="n"/>
      <c r="E21" s="227" t="inlineStr">
        <is>
          <t>PTX19</t>
        </is>
      </c>
      <c r="F21" s="254" t="n">
        <v>1.2</v>
      </c>
      <c r="G21" s="255" t="inlineStr">
        <is>
          <t>kPa</t>
        </is>
      </c>
      <c r="H21" s="257" t="n">
        <v>0</v>
      </c>
      <c r="I21" s="257" t="n">
        <v>150</v>
      </c>
      <c r="J21" s="257" t="n">
        <v>300</v>
      </c>
      <c r="K21" s="257" t="n">
        <v>450</v>
      </c>
      <c r="L21" s="257" t="n">
        <v>588</v>
      </c>
      <c r="M21" s="480" t="n">
        <v>-0.03</v>
      </c>
      <c r="N21" s="480" t="n">
        <v>149.78</v>
      </c>
      <c r="O21" s="480" t="n">
        <v>299.75</v>
      </c>
      <c r="P21" s="480" t="n">
        <v>449.66</v>
      </c>
      <c r="Q21" s="483" t="n">
        <v>581.95</v>
      </c>
      <c r="R21" s="258" t="n">
        <v>0.03</v>
      </c>
      <c r="S21" s="258" t="n">
        <v>149.84</v>
      </c>
      <c r="T21" s="258" t="n">
        <v>299.88</v>
      </c>
      <c r="U21" s="258" t="n">
        <v>449.88</v>
      </c>
      <c r="V21" s="258" t="n">
        <v>588</v>
      </c>
      <c r="W21" s="221" t="n"/>
      <c r="X21" s="212" t="n"/>
    </row>
    <row r="22" ht="15" customFormat="1" customHeight="1" s="383" thickBot="1">
      <c r="A22" s="382" t="n"/>
      <c r="B22" s="222" t="n">
        <v>10</v>
      </c>
      <c r="C22" s="16" t="inlineStr">
        <is>
          <t>Air P Horn 2</t>
        </is>
      </c>
      <c r="D22" s="472" t="n"/>
      <c r="E22" s="227" t="inlineStr">
        <is>
          <t>PTX41</t>
        </is>
      </c>
      <c r="F22" s="254" t="n">
        <v>0.04</v>
      </c>
      <c r="G22" s="255" t="inlineStr">
        <is>
          <t>kPa</t>
        </is>
      </c>
      <c r="H22" s="257" t="n">
        <v>-19.6</v>
      </c>
      <c r="I22" s="257" t="n">
        <v>-15</v>
      </c>
      <c r="J22" s="257" t="n">
        <v>-10</v>
      </c>
      <c r="K22" s="257" t="n">
        <v>-5</v>
      </c>
      <c r="L22" s="257" t="n">
        <v>0</v>
      </c>
      <c r="M22" s="484" t="n">
        <v>-19.56</v>
      </c>
      <c r="N22" s="483" t="n">
        <v>-15.05</v>
      </c>
      <c r="O22" s="483" t="n">
        <v>-10.12</v>
      </c>
      <c r="P22" s="483" t="n">
        <v>-5.1</v>
      </c>
      <c r="Q22" s="483" t="n">
        <v>-0.1</v>
      </c>
      <c r="R22" s="258" t="n">
        <v>-19.6</v>
      </c>
      <c r="S22" s="258" t="n">
        <v>-15</v>
      </c>
      <c r="T22" s="258" t="n">
        <v>-10</v>
      </c>
      <c r="U22" s="258" t="n">
        <v>-4.99</v>
      </c>
      <c r="V22" s="258" t="n">
        <v>0</v>
      </c>
      <c r="W22" s="221" t="n"/>
      <c r="X22" s="212" t="n"/>
    </row>
    <row r="23" ht="15" customFormat="1" customHeight="1" s="383" thickBot="1">
      <c r="A23" s="382" t="n"/>
      <c r="B23" s="222" t="n">
        <v>11</v>
      </c>
      <c r="C23" s="16" t="inlineStr">
        <is>
          <t>Air P TC2 In</t>
        </is>
      </c>
      <c r="D23" s="472" t="n"/>
      <c r="E23" s="227" t="inlineStr">
        <is>
          <t>PTX43</t>
        </is>
      </c>
      <c r="F23" s="254" t="n">
        <v>0.04</v>
      </c>
      <c r="G23" s="255" t="inlineStr">
        <is>
          <t>kPa</t>
        </is>
      </c>
      <c r="H23" s="257" t="n">
        <v>-19.6</v>
      </c>
      <c r="I23" s="257" t="n">
        <v>-15</v>
      </c>
      <c r="J23" s="257" t="n">
        <v>-10</v>
      </c>
      <c r="K23" s="257" t="n">
        <v>-5</v>
      </c>
      <c r="L23" s="257" t="n">
        <v>0</v>
      </c>
      <c r="M23" s="483" t="n">
        <v>-19.67</v>
      </c>
      <c r="N23" s="484" t="n">
        <v>-15.04</v>
      </c>
      <c r="O23" s="480" t="n">
        <v>-10</v>
      </c>
      <c r="P23" s="480" t="n">
        <v>-5</v>
      </c>
      <c r="Q23" s="480" t="n">
        <v>-0.01</v>
      </c>
      <c r="R23" s="258" t="n">
        <v>-19.6</v>
      </c>
      <c r="S23" s="258" t="n">
        <v>-14.99</v>
      </c>
      <c r="T23" s="258" t="n">
        <v>-10</v>
      </c>
      <c r="U23" s="258" t="n">
        <v>-5.01</v>
      </c>
      <c r="V23" s="258" t="n">
        <v>-0.005</v>
      </c>
      <c r="W23" s="221" t="n"/>
      <c r="X23" s="212" t="n"/>
    </row>
    <row r="24" ht="15" customFormat="1" customHeight="1" s="383" thickBot="1">
      <c r="A24" s="382" t="n"/>
      <c r="B24" s="222" t="n">
        <v>12</v>
      </c>
      <c r="C24" s="16" t="inlineStr">
        <is>
          <t>Air P TC4 In</t>
        </is>
      </c>
      <c r="D24" s="472" t="n"/>
      <c r="E24" s="227" t="inlineStr">
        <is>
          <t>PTX44</t>
        </is>
      </c>
      <c r="F24" s="254" t="n">
        <v>0.04</v>
      </c>
      <c r="G24" s="255" t="inlineStr">
        <is>
          <t>kPa</t>
        </is>
      </c>
      <c r="H24" s="257" t="n">
        <v>-19.6</v>
      </c>
      <c r="I24" s="257" t="n">
        <v>-15</v>
      </c>
      <c r="J24" s="257" t="n">
        <v>-10</v>
      </c>
      <c r="K24" s="257" t="n">
        <v>-5</v>
      </c>
      <c r="L24" s="257" t="n">
        <v>0</v>
      </c>
      <c r="M24" s="483" t="n">
        <v>-19.55</v>
      </c>
      <c r="N24" s="483" t="n">
        <v>-14.93</v>
      </c>
      <c r="O24" s="483" t="n">
        <v>-9.93</v>
      </c>
      <c r="P24" s="480" t="n">
        <v>-4.97</v>
      </c>
      <c r="Q24" s="483" t="n">
        <v>0.07000000000000001</v>
      </c>
      <c r="R24" s="258" t="n">
        <v>-19.6</v>
      </c>
      <c r="S24" s="258" t="n">
        <v>-15</v>
      </c>
      <c r="T24" s="258" t="n">
        <v>-9.99</v>
      </c>
      <c r="U24" s="258" t="n">
        <v>-5</v>
      </c>
      <c r="V24" s="258" t="n">
        <v>0</v>
      </c>
      <c r="W24" s="221" t="n"/>
      <c r="X24" s="212" t="n"/>
    </row>
    <row r="25" ht="15" customFormat="1" customHeight="1" s="383" thickBot="1">
      <c r="A25" s="382" t="n"/>
      <c r="B25" s="222" t="n">
        <v>13</v>
      </c>
      <c r="C25" s="16" t="inlineStr">
        <is>
          <t>Fuel P Eng In B</t>
        </is>
      </c>
      <c r="D25" s="472" t="n"/>
      <c r="E25" s="227" t="inlineStr">
        <is>
          <t>PTX48</t>
        </is>
      </c>
      <c r="F25" s="254" t="n">
        <v>2</v>
      </c>
      <c r="G25" s="255" t="inlineStr">
        <is>
          <t>kPa</t>
        </is>
      </c>
      <c r="H25" s="257" t="n">
        <v>-80</v>
      </c>
      <c r="I25" s="257" t="n">
        <v>0</v>
      </c>
      <c r="J25" s="257" t="n">
        <v>297</v>
      </c>
      <c r="K25" s="257" t="n">
        <v>594</v>
      </c>
      <c r="L25" s="257" t="n">
        <v>882</v>
      </c>
      <c r="M25" s="484" t="n">
        <v>-81.81999999999999</v>
      </c>
      <c r="N25" s="480" t="n">
        <v>-0.82</v>
      </c>
      <c r="O25" s="480" t="n">
        <v>296.72</v>
      </c>
      <c r="P25" s="480" t="n">
        <v>593.42</v>
      </c>
      <c r="Q25" s="480" t="n">
        <v>881.8</v>
      </c>
      <c r="R25" s="258" t="n">
        <v>-80.06</v>
      </c>
      <c r="S25" s="258" t="n">
        <v>0.25</v>
      </c>
      <c r="T25" s="258" t="n">
        <v>297.37</v>
      </c>
      <c r="U25" s="258" t="n">
        <v>594</v>
      </c>
      <c r="V25" s="258" t="n">
        <v>881.87</v>
      </c>
      <c r="W25" s="221" t="n"/>
      <c r="X25" s="212" t="n"/>
    </row>
    <row r="26" ht="15" customFormat="1" customHeight="1" s="383" thickBot="1">
      <c r="A26" s="382" t="n"/>
      <c r="B26" s="222" t="n">
        <v>14</v>
      </c>
      <c r="C26" s="16" t="inlineStr">
        <is>
          <t>Fuel P Eng Rtn B</t>
        </is>
      </c>
      <c r="D26" s="472" t="n"/>
      <c r="E26" s="227" t="inlineStr">
        <is>
          <t>PTX49</t>
        </is>
      </c>
      <c r="F26" s="254" t="n">
        <v>1.2</v>
      </c>
      <c r="G26" s="255" t="inlineStr">
        <is>
          <t>kPa</t>
        </is>
      </c>
      <c r="H26" s="257" t="n">
        <v>0</v>
      </c>
      <c r="I26" s="257" t="n">
        <v>150</v>
      </c>
      <c r="J26" s="257" t="n">
        <v>300</v>
      </c>
      <c r="K26" s="257" t="n">
        <v>450</v>
      </c>
      <c r="L26" s="257" t="n">
        <v>588</v>
      </c>
      <c r="M26" s="483" t="n">
        <v>-1.73</v>
      </c>
      <c r="N26" s="483" t="n">
        <v>147.45</v>
      </c>
      <c r="O26" s="483" t="n">
        <v>297.4</v>
      </c>
      <c r="P26" s="483" t="n">
        <v>447.33</v>
      </c>
      <c r="Q26" s="483" t="n">
        <v>585.55</v>
      </c>
      <c r="R26" s="258" t="n">
        <v>0</v>
      </c>
      <c r="S26" s="258" t="n">
        <v>149.96</v>
      </c>
      <c r="T26" s="258" t="n">
        <v>300.03</v>
      </c>
      <c r="U26" s="258" t="n">
        <v>449.84</v>
      </c>
      <c r="V26" s="258" t="n">
        <v>587.84</v>
      </c>
      <c r="W26" s="221" t="n"/>
      <c r="X26" s="212" t="n"/>
    </row>
    <row r="27" ht="15" customFormat="1" customHeight="1" s="383" thickBot="1">
      <c r="A27" s="382" t="n"/>
      <c r="B27" s="222" t="n">
        <v>15</v>
      </c>
      <c r="C27" s="16" t="inlineStr">
        <is>
          <t>Exh P TC2 In</t>
        </is>
      </c>
      <c r="D27" s="472" t="n"/>
      <c r="E27" s="227" t="inlineStr">
        <is>
          <t>PTX50</t>
        </is>
      </c>
      <c r="F27" s="254" t="n">
        <v>1.2</v>
      </c>
      <c r="G27" s="255" t="inlineStr">
        <is>
          <t>kPa</t>
        </is>
      </c>
      <c r="H27" s="257" t="n">
        <v>0</v>
      </c>
      <c r="I27" s="257" t="n">
        <v>150</v>
      </c>
      <c r="J27" s="257" t="n">
        <v>300</v>
      </c>
      <c r="K27" s="257" t="n">
        <v>450</v>
      </c>
      <c r="L27" s="257" t="n">
        <v>588</v>
      </c>
      <c r="M27" s="483" t="n">
        <v>1.7</v>
      </c>
      <c r="N27" s="483" t="n">
        <v>152.12</v>
      </c>
      <c r="O27" s="483" t="n">
        <v>302.35</v>
      </c>
      <c r="P27" s="483" t="n">
        <v>452.22</v>
      </c>
      <c r="Q27" s="483" t="n">
        <v>589.9400000000001</v>
      </c>
      <c r="R27" s="258" t="n">
        <v>0</v>
      </c>
      <c r="S27" s="258" t="n">
        <v>150.03</v>
      </c>
      <c r="T27" s="258" t="n">
        <v>300.26</v>
      </c>
      <c r="U27" s="258" t="n">
        <v>450.15</v>
      </c>
      <c r="V27" s="258" t="n">
        <v>588.22</v>
      </c>
      <c r="W27" s="221" t="n"/>
      <c r="X27" s="212" t="n"/>
    </row>
    <row r="28" ht="15" customFormat="1" customHeight="1" s="383" thickBot="1">
      <c r="A28" s="382" t="n"/>
      <c r="B28" s="222" t="n">
        <v>16</v>
      </c>
      <c r="C28" s="16" t="inlineStr">
        <is>
          <t>Exh P TC4 Out</t>
        </is>
      </c>
      <c r="D28" s="472" t="n"/>
      <c r="E28" s="227" t="inlineStr">
        <is>
          <t>PTX53</t>
        </is>
      </c>
      <c r="F28" s="254" t="n">
        <v>0.14</v>
      </c>
      <c r="G28" s="255" t="inlineStr">
        <is>
          <t>kPa</t>
        </is>
      </c>
      <c r="H28" s="257" t="n">
        <v>-34.3</v>
      </c>
      <c r="I28" s="257" t="n">
        <v>-17.5</v>
      </c>
      <c r="J28" s="257" t="n">
        <v>0</v>
      </c>
      <c r="K28" s="257" t="n">
        <v>17.5</v>
      </c>
      <c r="L28" s="257" t="n">
        <v>34.3</v>
      </c>
      <c r="M28" s="483" t="n">
        <v>-34.33</v>
      </c>
      <c r="N28" s="483" t="n">
        <v>-17.62</v>
      </c>
      <c r="O28" s="483" t="n">
        <v>0.03</v>
      </c>
      <c r="P28" s="483" t="n">
        <v>17.34</v>
      </c>
      <c r="Q28" s="483" t="n">
        <v>34.18</v>
      </c>
      <c r="R28" s="258" t="n">
        <v>-34.29</v>
      </c>
      <c r="S28" s="258" t="n">
        <v>-17.53</v>
      </c>
      <c r="T28" s="258" t="n">
        <v>-0.09</v>
      </c>
      <c r="U28" s="258" t="n">
        <v>17.49</v>
      </c>
      <c r="V28" s="258" t="n">
        <v>34.31</v>
      </c>
      <c r="W28" s="221" t="n"/>
      <c r="X28" s="212" t="n"/>
    </row>
    <row r="29" ht="15" customFormat="1" customHeight="1" s="383" thickBot="1">
      <c r="A29" s="382" t="n"/>
      <c r="B29" s="222" t="n">
        <v>17</v>
      </c>
      <c r="C29" s="16" t="inlineStr">
        <is>
          <t>Lub Oil P Filt B Out</t>
        </is>
      </c>
      <c r="D29" s="472" t="n"/>
      <c r="E29" s="227" t="inlineStr">
        <is>
          <t>PTX57</t>
        </is>
      </c>
      <c r="F29" s="254" t="n">
        <v>1.2</v>
      </c>
      <c r="G29" s="255" t="inlineStr">
        <is>
          <t>kPa</t>
        </is>
      </c>
      <c r="H29" s="257" t="n">
        <v>0</v>
      </c>
      <c r="I29" s="257" t="n">
        <v>150</v>
      </c>
      <c r="J29" s="257" t="n">
        <v>300</v>
      </c>
      <c r="K29" s="257" t="n">
        <v>450</v>
      </c>
      <c r="L29" s="257" t="n">
        <v>588</v>
      </c>
      <c r="M29" s="484" t="n">
        <v>1.16</v>
      </c>
      <c r="N29" s="483" t="n">
        <v>154.78</v>
      </c>
      <c r="O29" s="483" t="n">
        <v>306.1</v>
      </c>
      <c r="P29" s="483" t="n">
        <v>456.1</v>
      </c>
      <c r="Q29" s="483" t="n">
        <v>594.21</v>
      </c>
      <c r="R29" s="258" t="n">
        <v>-0.03</v>
      </c>
      <c r="S29" s="258" t="n">
        <v>150.11</v>
      </c>
      <c r="T29" s="258" t="n">
        <v>299.92</v>
      </c>
      <c r="U29" s="258" t="n">
        <v>450.11</v>
      </c>
      <c r="V29" s="258" t="n">
        <v>588</v>
      </c>
      <c r="W29" s="221" t="n"/>
      <c r="X29" s="212" t="n"/>
    </row>
    <row r="30" ht="15" customFormat="1" customHeight="1" s="383" thickBot="1">
      <c r="A30" s="382" t="n"/>
      <c r="B30" s="222" t="n">
        <v>18</v>
      </c>
      <c r="C30" s="16" t="inlineStr">
        <is>
          <t>Cool P LOC B In</t>
        </is>
      </c>
      <c r="D30" s="472" t="n"/>
      <c r="E30" s="227" t="inlineStr">
        <is>
          <t>PTX60</t>
        </is>
      </c>
      <c r="F30" s="254" t="n">
        <v>0.6</v>
      </c>
      <c r="G30" s="255" t="inlineStr">
        <is>
          <t>kPa</t>
        </is>
      </c>
      <c r="H30" s="257" t="n">
        <v>0</v>
      </c>
      <c r="I30" s="257" t="n">
        <v>75</v>
      </c>
      <c r="J30" s="257" t="n">
        <v>150</v>
      </c>
      <c r="K30" s="257" t="n">
        <v>225</v>
      </c>
      <c r="L30" s="257" t="n">
        <v>294</v>
      </c>
      <c r="M30" s="480" t="n">
        <v>0.2</v>
      </c>
      <c r="N30" s="483" t="n">
        <v>74.8</v>
      </c>
      <c r="O30" s="483" t="n">
        <v>149.55</v>
      </c>
      <c r="P30" s="483" t="n">
        <v>225.03</v>
      </c>
      <c r="Q30" s="483" t="n">
        <v>295.5</v>
      </c>
      <c r="R30" s="258" t="n">
        <v>-0.03</v>
      </c>
      <c r="S30" s="258" t="n">
        <v>75.06999999999999</v>
      </c>
      <c r="T30" s="258" t="n">
        <v>150.01</v>
      </c>
      <c r="U30" s="258" t="n">
        <v>225</v>
      </c>
      <c r="V30" s="258" t="n">
        <v>294</v>
      </c>
      <c r="W30" s="221" t="n"/>
      <c r="X30" s="212" t="n"/>
    </row>
    <row r="31" ht="15" customFormat="1" customHeight="1" s="383" thickBot="1">
      <c r="A31" s="382" t="n"/>
      <c r="B31" s="222" t="n">
        <v>19</v>
      </c>
      <c r="C31" s="16" t="inlineStr">
        <is>
          <t>Cool P Eng Bank B Out</t>
        </is>
      </c>
      <c r="D31" s="472" t="n"/>
      <c r="E31" s="227" t="inlineStr">
        <is>
          <t>PTX62</t>
        </is>
      </c>
      <c r="F31" s="254" t="n">
        <v>0.6</v>
      </c>
      <c r="G31" s="255" t="inlineStr">
        <is>
          <t>kPa</t>
        </is>
      </c>
      <c r="H31" s="257" t="n">
        <v>0</v>
      </c>
      <c r="I31" s="257" t="n">
        <v>75</v>
      </c>
      <c r="J31" s="257" t="n">
        <v>150</v>
      </c>
      <c r="K31" s="257" t="n">
        <v>225</v>
      </c>
      <c r="L31" s="257" t="n">
        <v>294</v>
      </c>
      <c r="M31" s="480" t="n">
        <v>0.05</v>
      </c>
      <c r="N31" s="480" t="n">
        <v>74.7</v>
      </c>
      <c r="O31" s="480" t="n">
        <v>149.66</v>
      </c>
      <c r="P31" s="483" t="n">
        <v>226.22</v>
      </c>
      <c r="Q31" s="483" t="n">
        <v>299.74</v>
      </c>
      <c r="R31" s="258" t="n">
        <v>0</v>
      </c>
      <c r="S31" s="258" t="n">
        <v>74.90000000000001</v>
      </c>
      <c r="T31" s="258" t="n">
        <v>150.07</v>
      </c>
      <c r="U31" s="258" t="n">
        <v>225.01</v>
      </c>
      <c r="V31" s="258" t="n">
        <v>294.03</v>
      </c>
      <c r="W31" s="221" t="n"/>
      <c r="X31" s="212" t="n"/>
    </row>
    <row r="32" ht="15" customFormat="1" customHeight="1" s="383" thickBot="1">
      <c r="A32" s="382" t="n"/>
      <c r="B32" s="222" t="n">
        <v>20</v>
      </c>
      <c r="C32" s="16" t="inlineStr">
        <is>
          <t>Cool P HE Out</t>
        </is>
      </c>
      <c r="D32" s="472" t="n"/>
      <c r="E32" s="227" t="inlineStr">
        <is>
          <t>PTX66</t>
        </is>
      </c>
      <c r="F32" s="254" t="n">
        <v>0.6</v>
      </c>
      <c r="G32" s="255" t="inlineStr">
        <is>
          <t>kPa</t>
        </is>
      </c>
      <c r="H32" s="257" t="n">
        <v>0</v>
      </c>
      <c r="I32" s="257" t="n">
        <v>75</v>
      </c>
      <c r="J32" s="257" t="n">
        <v>150</v>
      </c>
      <c r="K32" s="257" t="n">
        <v>225</v>
      </c>
      <c r="L32" s="257" t="n">
        <v>294</v>
      </c>
      <c r="M32" s="480" t="n">
        <v>0</v>
      </c>
      <c r="N32" s="480" t="n">
        <v>75.31999999999999</v>
      </c>
      <c r="O32" s="484" t="n">
        <v>150.52</v>
      </c>
      <c r="P32" s="480" t="n">
        <v>225.11</v>
      </c>
      <c r="Q32" s="480" t="n">
        <v>294.01</v>
      </c>
      <c r="R32" s="258" t="n">
        <v>0</v>
      </c>
      <c r="S32" s="258" t="n">
        <v>75</v>
      </c>
      <c r="T32" s="258" t="n">
        <v>150</v>
      </c>
      <c r="U32" s="258" t="n">
        <v>225.07</v>
      </c>
      <c r="V32" s="258" t="n">
        <v>294.01</v>
      </c>
      <c r="W32" s="221" t="n"/>
      <c r="X32" s="212" t="n"/>
    </row>
    <row r="33" ht="15" customFormat="1" customHeight="1" s="383" thickBot="1">
      <c r="A33" s="382" t="n"/>
      <c r="B33" s="222" t="n">
        <v>21</v>
      </c>
      <c r="C33" s="16" t="inlineStr">
        <is>
          <t>Lub Oil P Rail B</t>
        </is>
      </c>
      <c r="D33" s="472" t="n"/>
      <c r="E33" s="69" t="inlineStr">
        <is>
          <t>PTX58</t>
        </is>
      </c>
      <c r="F33" s="254" t="n">
        <v>2</v>
      </c>
      <c r="G33" s="255" t="inlineStr">
        <is>
          <t>kPa</t>
        </is>
      </c>
      <c r="H33" s="257" t="n">
        <v>0</v>
      </c>
      <c r="I33" s="257" t="n">
        <v>250</v>
      </c>
      <c r="J33" s="257" t="n">
        <v>500</v>
      </c>
      <c r="K33" s="257" t="n">
        <v>750</v>
      </c>
      <c r="L33" s="257" t="n">
        <v>980</v>
      </c>
      <c r="M33" s="483" t="n">
        <v>2.41</v>
      </c>
      <c r="N33" s="480" t="n">
        <v>250.25</v>
      </c>
      <c r="O33" s="480" t="n">
        <v>500.18</v>
      </c>
      <c r="P33" s="480" t="n">
        <v>750.4400000000001</v>
      </c>
      <c r="Q33" s="480" t="n">
        <v>980.3</v>
      </c>
      <c r="R33" s="258" t="n">
        <v>0</v>
      </c>
      <c r="S33" s="258" t="n">
        <v>250.12</v>
      </c>
      <c r="T33" s="258" t="n">
        <v>500.06</v>
      </c>
      <c r="U33" s="258" t="n">
        <v>750.12</v>
      </c>
      <c r="V33" s="258" t="n">
        <v>980</v>
      </c>
      <c r="W33" s="221" t="n"/>
      <c r="X33" s="212" t="n"/>
    </row>
    <row r="34" ht="15" customFormat="1" customHeight="1" s="383" thickBot="1">
      <c r="A34" s="382" t="n"/>
      <c r="B34" s="222" t="n"/>
      <c r="C34" s="479" t="inlineStr">
        <is>
          <t>Temperature Channels -  Acceptable Deviation : +/- 5°C Adjust if error &gt;4°C</t>
        </is>
      </c>
      <c r="D34" s="476" t="n"/>
      <c r="E34" s="476" t="n"/>
      <c r="F34" s="476" t="n"/>
      <c r="G34" s="476" t="n"/>
      <c r="H34" s="476" t="n"/>
      <c r="I34" s="476" t="n"/>
      <c r="J34" s="476" t="n"/>
      <c r="K34" s="476" t="n"/>
      <c r="L34" s="476" t="n"/>
      <c r="M34" s="476" t="n"/>
      <c r="N34" s="476" t="n"/>
      <c r="O34" s="476" t="n"/>
      <c r="P34" s="476" t="n"/>
      <c r="Q34" s="476" t="n"/>
      <c r="R34" s="476" t="n"/>
      <c r="S34" s="476" t="n"/>
      <c r="T34" s="476" t="n"/>
      <c r="U34" s="476" t="n"/>
      <c r="V34" s="477" t="n"/>
      <c r="W34" s="221" t="n"/>
      <c r="X34" s="212" t="n"/>
    </row>
    <row r="35" ht="15" customFormat="1" customHeight="1" s="383" thickBot="1">
      <c r="A35" s="382" t="n"/>
      <c r="B35" s="222" t="n">
        <v>22</v>
      </c>
      <c r="C35" s="16" t="inlineStr">
        <is>
          <t>Fuel T FLP In</t>
        </is>
      </c>
      <c r="D35" s="472" t="n"/>
      <c r="E35" s="223" t="inlineStr">
        <is>
          <t>T8</t>
        </is>
      </c>
      <c r="F35" s="254" t="inlineStr">
        <is>
          <t>±5</t>
        </is>
      </c>
      <c r="G35" s="256" t="inlineStr">
        <is>
          <t>°C</t>
        </is>
      </c>
      <c r="H35" s="257" t="n">
        <v>0</v>
      </c>
      <c r="I35" s="257" t="n">
        <v>250</v>
      </c>
      <c r="J35" s="257" t="n">
        <v>500</v>
      </c>
      <c r="K35" s="257" t="n">
        <v>750</v>
      </c>
      <c r="L35" s="257" t="n">
        <v>1000</v>
      </c>
      <c r="M35" s="483" t="n">
        <v>0</v>
      </c>
      <c r="N35" s="483" t="n">
        <v>250.9</v>
      </c>
      <c r="O35" s="483" t="n">
        <v>498</v>
      </c>
      <c r="P35" s="483" t="n">
        <v>749.2</v>
      </c>
      <c r="Q35" s="483" t="n">
        <v>1001.6</v>
      </c>
      <c r="R35" s="257" t="inlineStr">
        <is>
          <t>N/a</t>
        </is>
      </c>
      <c r="S35" s="257" t="inlineStr">
        <is>
          <t>N/a</t>
        </is>
      </c>
      <c r="T35" s="257" t="inlineStr">
        <is>
          <t>N/a</t>
        </is>
      </c>
      <c r="U35" s="257" t="inlineStr">
        <is>
          <t>N/a</t>
        </is>
      </c>
      <c r="V35" s="257" t="inlineStr">
        <is>
          <t>N/a</t>
        </is>
      </c>
      <c r="W35" s="221" t="n"/>
      <c r="X35" s="212" t="n"/>
    </row>
    <row r="36" ht="15" customFormat="1" customHeight="1" s="383" thickBot="1">
      <c r="A36" s="382" t="n"/>
      <c r="B36" s="222" t="n">
        <v>23</v>
      </c>
      <c r="C36" s="16" t="n"/>
      <c r="D36" s="472" t="n"/>
      <c r="E36" s="223" t="inlineStr">
        <is>
          <t>T7</t>
        </is>
      </c>
      <c r="F36" s="254" t="inlineStr">
        <is>
          <t>±5</t>
        </is>
      </c>
      <c r="G36" s="256" t="inlineStr">
        <is>
          <t>°C</t>
        </is>
      </c>
      <c r="H36" s="257" t="n">
        <v>0</v>
      </c>
      <c r="I36" s="257" t="n">
        <v>250</v>
      </c>
      <c r="J36" s="257" t="n">
        <v>500</v>
      </c>
      <c r="K36" s="257" t="n">
        <v>750</v>
      </c>
      <c r="L36" s="257" t="n">
        <v>1000</v>
      </c>
      <c r="M36" s="480" t="n">
        <v>2.5</v>
      </c>
      <c r="N36" s="480" t="n">
        <v>247.4</v>
      </c>
      <c r="O36" s="480" t="n">
        <v>503.3</v>
      </c>
      <c r="P36" s="484" t="n">
        <v>745.7</v>
      </c>
      <c r="Q36" s="484" t="n">
        <v>995.4</v>
      </c>
      <c r="R36" s="257" t="inlineStr">
        <is>
          <t>N/a</t>
        </is>
      </c>
      <c r="S36" s="257" t="inlineStr">
        <is>
          <t>N/a</t>
        </is>
      </c>
      <c r="T36" s="257" t="inlineStr">
        <is>
          <t>N/a</t>
        </is>
      </c>
      <c r="U36" s="257" t="inlineStr">
        <is>
          <t>N/a</t>
        </is>
      </c>
      <c r="V36" s="257" t="inlineStr">
        <is>
          <t>N/a</t>
        </is>
      </c>
      <c r="W36" s="221" t="n"/>
      <c r="X36" s="212" t="n"/>
    </row>
    <row r="37" ht="15" customFormat="1" customHeight="1" s="383" thickBot="1">
      <c r="A37" s="382" t="n"/>
      <c r="B37" s="222" t="n">
        <v>24</v>
      </c>
      <c r="C37" s="16" t="inlineStr">
        <is>
          <t>Lub Oil T Rail A</t>
        </is>
      </c>
      <c r="D37" s="472" t="n"/>
      <c r="E37" s="223" t="inlineStr">
        <is>
          <t>T16</t>
        </is>
      </c>
      <c r="F37" s="254" t="inlineStr">
        <is>
          <t>±5</t>
        </is>
      </c>
      <c r="G37" s="256" t="inlineStr">
        <is>
          <t>°C</t>
        </is>
      </c>
      <c r="H37" s="257" t="n">
        <v>0</v>
      </c>
      <c r="I37" s="257" t="n">
        <v>250</v>
      </c>
      <c r="J37" s="257" t="n">
        <v>500</v>
      </c>
      <c r="K37" s="257" t="n">
        <v>750</v>
      </c>
      <c r="L37" s="257" t="n">
        <v>1000</v>
      </c>
      <c r="M37" s="483" t="n">
        <v>8.199999999999999</v>
      </c>
      <c r="N37" s="480" t="n">
        <v>250.4</v>
      </c>
      <c r="O37" s="483" t="n">
        <v>493.1</v>
      </c>
      <c r="P37" s="480" t="n">
        <v>747.2</v>
      </c>
      <c r="Q37" s="483" t="n">
        <v>991.9</v>
      </c>
      <c r="R37" s="257" t="inlineStr">
        <is>
          <t>N/a</t>
        </is>
      </c>
      <c r="S37" s="257" t="inlineStr">
        <is>
          <t>N/a</t>
        </is>
      </c>
      <c r="T37" s="257" t="inlineStr">
        <is>
          <t>N/a</t>
        </is>
      </c>
      <c r="U37" s="257" t="inlineStr">
        <is>
          <t>N/a</t>
        </is>
      </c>
      <c r="V37" s="257" t="inlineStr">
        <is>
          <t>N/a</t>
        </is>
      </c>
      <c r="W37" s="221" t="n"/>
      <c r="X37" s="212" t="n"/>
    </row>
    <row r="38" ht="15" customFormat="1" customHeight="1" s="383" thickBot="1">
      <c r="A38" s="382" t="n"/>
      <c r="B38" s="222" t="n">
        <v>25</v>
      </c>
      <c r="C38" s="16" t="inlineStr">
        <is>
          <t>Exh Port 6</t>
        </is>
      </c>
      <c r="D38" s="472" t="n"/>
      <c r="E38" s="247" t="inlineStr">
        <is>
          <t>T23</t>
        </is>
      </c>
      <c r="F38" s="254" t="inlineStr">
        <is>
          <t>±5</t>
        </is>
      </c>
      <c r="G38" s="256" t="inlineStr">
        <is>
          <t>°C</t>
        </is>
      </c>
      <c r="H38" s="257" t="n">
        <v>0</v>
      </c>
      <c r="I38" s="257" t="n">
        <v>250</v>
      </c>
      <c r="J38" s="257" t="n">
        <v>500</v>
      </c>
      <c r="K38" s="257" t="n">
        <v>750</v>
      </c>
      <c r="L38" s="257" t="n">
        <v>1000</v>
      </c>
      <c r="M38" s="480" t="n">
        <v>0</v>
      </c>
      <c r="N38" s="480" t="n">
        <v>251.4</v>
      </c>
      <c r="O38" s="480" t="n">
        <v>501.3</v>
      </c>
      <c r="P38" s="483" t="n">
        <v>743.5</v>
      </c>
      <c r="Q38" s="483" t="n">
        <v>1006.4</v>
      </c>
      <c r="R38" s="257" t="inlineStr">
        <is>
          <t>N/a</t>
        </is>
      </c>
      <c r="S38" s="257" t="inlineStr">
        <is>
          <t>N/a</t>
        </is>
      </c>
      <c r="T38" s="257" t="inlineStr">
        <is>
          <t>N/a</t>
        </is>
      </c>
      <c r="U38" s="257" t="inlineStr">
        <is>
          <t>N/a</t>
        </is>
      </c>
      <c r="V38" s="257" t="inlineStr">
        <is>
          <t>N/a</t>
        </is>
      </c>
      <c r="W38" s="221" t="n"/>
      <c r="X38" s="212" t="n"/>
    </row>
    <row r="39" ht="15" customFormat="1" customHeight="1" s="383" thickBot="1">
      <c r="A39" s="382" t="n"/>
      <c r="B39" s="222" t="n">
        <v>26</v>
      </c>
      <c r="C39" s="16" t="inlineStr">
        <is>
          <t>Exh Port 7</t>
        </is>
      </c>
      <c r="D39" s="472" t="n"/>
      <c r="E39" s="247" t="inlineStr">
        <is>
          <t>T24</t>
        </is>
      </c>
      <c r="F39" s="254" t="inlineStr">
        <is>
          <t>±5</t>
        </is>
      </c>
      <c r="G39" s="256" t="inlineStr">
        <is>
          <t>°C</t>
        </is>
      </c>
      <c r="H39" s="257" t="n">
        <v>0</v>
      </c>
      <c r="I39" s="257" t="n">
        <v>250</v>
      </c>
      <c r="J39" s="257" t="n">
        <v>500</v>
      </c>
      <c r="K39" s="257" t="n">
        <v>750</v>
      </c>
      <c r="L39" s="257" t="n">
        <v>1000</v>
      </c>
      <c r="M39" s="480" t="n">
        <v>0.1</v>
      </c>
      <c r="N39" s="483" t="n">
        <v>256</v>
      </c>
      <c r="O39" s="485" t="n">
        <v>495.6</v>
      </c>
      <c r="P39" s="483" t="n">
        <v>743</v>
      </c>
      <c r="Q39" s="485" t="n">
        <v>995.7</v>
      </c>
      <c r="R39" s="257" t="inlineStr">
        <is>
          <t>N/a</t>
        </is>
      </c>
      <c r="S39" s="257" t="inlineStr">
        <is>
          <t>N/a</t>
        </is>
      </c>
      <c r="T39" s="257" t="inlineStr">
        <is>
          <t>N/a</t>
        </is>
      </c>
      <c r="U39" s="257" t="inlineStr">
        <is>
          <t>N/a</t>
        </is>
      </c>
      <c r="V39" s="257" t="inlineStr">
        <is>
          <t>N/a</t>
        </is>
      </c>
      <c r="W39" s="221" t="n"/>
      <c r="X39" s="212" t="n"/>
    </row>
    <row r="40" ht="15" customFormat="1" customHeight="1" s="383" thickBot="1">
      <c r="A40" s="382" t="n"/>
      <c r="B40" s="222" t="n">
        <v>27</v>
      </c>
      <c r="C40" s="69" t="inlineStr">
        <is>
          <t>Exh T TC3 Out</t>
        </is>
      </c>
      <c r="D40" s="486" t="n"/>
      <c r="E40" s="247" t="inlineStr">
        <is>
          <t>T15</t>
        </is>
      </c>
      <c r="F40" s="254" t="inlineStr">
        <is>
          <t>±5</t>
        </is>
      </c>
      <c r="G40" s="256" t="inlineStr">
        <is>
          <t>°C</t>
        </is>
      </c>
      <c r="H40" s="257" t="n">
        <v>0</v>
      </c>
      <c r="I40" s="257" t="n">
        <v>250</v>
      </c>
      <c r="J40" s="257" t="n">
        <v>500</v>
      </c>
      <c r="K40" s="257" t="n">
        <v>750</v>
      </c>
      <c r="L40" s="257" t="n">
        <v>1000</v>
      </c>
      <c r="M40" s="480" t="n">
        <v>2.9</v>
      </c>
      <c r="N40" s="480" t="n">
        <v>246.5</v>
      </c>
      <c r="O40" s="480" t="n">
        <v>504</v>
      </c>
      <c r="P40" s="484" t="n">
        <v>745.7</v>
      </c>
      <c r="Q40" s="484" t="n">
        <v>995.1</v>
      </c>
      <c r="R40" s="257" t="inlineStr">
        <is>
          <t>N/a</t>
        </is>
      </c>
      <c r="S40" s="257" t="inlineStr">
        <is>
          <t>N/a</t>
        </is>
      </c>
      <c r="T40" s="257" t="inlineStr">
        <is>
          <t>N/a</t>
        </is>
      </c>
      <c r="U40" s="257" t="inlineStr">
        <is>
          <t>N/a</t>
        </is>
      </c>
      <c r="V40" s="257" t="inlineStr">
        <is>
          <t>N/a</t>
        </is>
      </c>
      <c r="W40" s="221" t="n"/>
      <c r="X40" s="212" t="n"/>
    </row>
    <row r="41" ht="15" customFormat="1" customHeight="1" s="383" thickBot="1">
      <c r="A41" s="382" t="n"/>
      <c r="B41" s="222" t="n"/>
      <c r="C41" s="479" t="inlineStr">
        <is>
          <t>Analogue Inputs -  Acceptable Deviation : 0.2% full Scale. Adjust if error &gt;80% accepted tolerance.</t>
        </is>
      </c>
      <c r="D41" s="476" t="n"/>
      <c r="E41" s="476" t="n"/>
      <c r="F41" s="476" t="n"/>
      <c r="G41" s="476" t="n"/>
      <c r="H41" s="476" t="n"/>
      <c r="I41" s="476" t="n"/>
      <c r="J41" s="476" t="n"/>
      <c r="K41" s="476" t="n"/>
      <c r="L41" s="476" t="n"/>
      <c r="M41" s="476" t="n"/>
      <c r="N41" s="476" t="n"/>
      <c r="O41" s="476" t="n"/>
      <c r="P41" s="476" t="n"/>
      <c r="Q41" s="476" t="n"/>
      <c r="R41" s="476" t="n"/>
      <c r="S41" s="476" t="n"/>
      <c r="T41" s="476" t="n"/>
      <c r="U41" s="476" t="n"/>
      <c r="V41" s="477" t="n"/>
      <c r="W41" s="221" t="n"/>
      <c r="X41" s="212" t="n"/>
    </row>
    <row r="42" ht="15" customFormat="1" customHeight="1" s="383" thickBot="1">
      <c r="A42" s="382" t="n"/>
      <c r="B42" s="222" t="n">
        <v>22</v>
      </c>
      <c r="C42" s="16" t="inlineStr">
        <is>
          <t>AI Turbo Spd 2</t>
        </is>
      </c>
      <c r="D42" s="472" t="n"/>
      <c r="E42" s="223" t="n">
        <v>1808</v>
      </c>
      <c r="F42" s="254" t="n">
        <v>0.02</v>
      </c>
      <c r="G42" s="264" t="inlineStr">
        <is>
          <t>V</t>
        </is>
      </c>
      <c r="H42" s="257" t="n">
        <v>2</v>
      </c>
      <c r="I42" s="257" t="n">
        <v>4</v>
      </c>
      <c r="J42" s="257" t="n">
        <v>6</v>
      </c>
      <c r="K42" s="257" t="n">
        <v>8</v>
      </c>
      <c r="L42" s="257" t="n">
        <v>10</v>
      </c>
      <c r="M42" s="483" t="inlineStr">
        <is>
          <t>-</t>
        </is>
      </c>
      <c r="N42" s="483" t="inlineStr">
        <is>
          <t>-</t>
        </is>
      </c>
      <c r="O42" s="483" t="inlineStr">
        <is>
          <t>-</t>
        </is>
      </c>
      <c r="P42" s="483" t="inlineStr">
        <is>
          <t>-</t>
        </is>
      </c>
      <c r="Q42" s="483" t="inlineStr">
        <is>
          <t>-</t>
        </is>
      </c>
      <c r="R42" s="257" t="inlineStr">
        <is>
          <t>N/a</t>
        </is>
      </c>
      <c r="S42" s="257" t="inlineStr">
        <is>
          <t>N/a</t>
        </is>
      </c>
      <c r="T42" s="257" t="inlineStr">
        <is>
          <t>N/a</t>
        </is>
      </c>
      <c r="U42" s="257" t="inlineStr">
        <is>
          <t>N/a</t>
        </is>
      </c>
      <c r="V42" s="257" t="inlineStr">
        <is>
          <t>N/a</t>
        </is>
      </c>
      <c r="W42" s="221" t="n"/>
      <c r="X42" s="212" t="n"/>
    </row>
    <row r="43" ht="15" customFormat="1" customHeight="1" s="383" thickBot="1">
      <c r="A43" s="382" t="n"/>
      <c r="B43" s="222" t="n"/>
      <c r="C43" s="16" t="inlineStr">
        <is>
          <t>-</t>
        </is>
      </c>
      <c r="D43" s="472" t="n"/>
      <c r="E43" s="223" t="n">
        <v>1901</v>
      </c>
      <c r="F43" s="254" t="n">
        <v>0.02</v>
      </c>
      <c r="G43" s="256" t="inlineStr">
        <is>
          <t>V</t>
        </is>
      </c>
      <c r="H43" s="257" t="n">
        <v>2</v>
      </c>
      <c r="I43" s="257" t="n">
        <v>4</v>
      </c>
      <c r="J43" s="257" t="n">
        <v>6</v>
      </c>
      <c r="K43" s="257" t="n">
        <v>8</v>
      </c>
      <c r="L43" s="257" t="n">
        <v>10</v>
      </c>
      <c r="M43" s="483" t="inlineStr">
        <is>
          <t>-</t>
        </is>
      </c>
      <c r="N43" s="483" t="inlineStr">
        <is>
          <t>-</t>
        </is>
      </c>
      <c r="O43" s="483" t="inlineStr">
        <is>
          <t>-</t>
        </is>
      </c>
      <c r="P43" s="483" t="inlineStr">
        <is>
          <t>-</t>
        </is>
      </c>
      <c r="Q43" s="483" t="inlineStr">
        <is>
          <t>-</t>
        </is>
      </c>
      <c r="R43" s="257" t="inlineStr">
        <is>
          <t>N/a</t>
        </is>
      </c>
      <c r="S43" s="257" t="inlineStr">
        <is>
          <t>N/a</t>
        </is>
      </c>
      <c r="T43" s="257" t="inlineStr">
        <is>
          <t>N/a</t>
        </is>
      </c>
      <c r="U43" s="257" t="inlineStr">
        <is>
          <t>N/a</t>
        </is>
      </c>
      <c r="V43" s="257" t="inlineStr">
        <is>
          <t>N/a</t>
        </is>
      </c>
      <c r="W43" s="221" t="n"/>
      <c r="X43" s="212" t="n"/>
    </row>
    <row r="44" ht="15" customFormat="1" customHeight="1" s="383" thickBot="1">
      <c r="A44" s="382" t="n"/>
      <c r="B44" s="222" t="n">
        <v>22</v>
      </c>
      <c r="C44" s="16" t="inlineStr">
        <is>
          <t>-</t>
        </is>
      </c>
      <c r="D44" s="472" t="n"/>
      <c r="E44" s="223" t="n">
        <v>1903</v>
      </c>
      <c r="F44" s="254" t="n">
        <v>0.02</v>
      </c>
      <c r="G44" s="264" t="inlineStr">
        <is>
          <t>V</t>
        </is>
      </c>
      <c r="H44" s="257" t="n">
        <v>2</v>
      </c>
      <c r="I44" s="257" t="n">
        <v>4</v>
      </c>
      <c r="J44" s="257" t="n">
        <v>6</v>
      </c>
      <c r="K44" s="257" t="n">
        <v>8</v>
      </c>
      <c r="L44" s="257" t="n">
        <v>10</v>
      </c>
      <c r="M44" s="483" t="inlineStr">
        <is>
          <t>-</t>
        </is>
      </c>
      <c r="N44" s="483" t="inlineStr">
        <is>
          <t>-</t>
        </is>
      </c>
      <c r="O44" s="483" t="inlineStr">
        <is>
          <t>-</t>
        </is>
      </c>
      <c r="P44" s="483" t="inlineStr">
        <is>
          <t>-</t>
        </is>
      </c>
      <c r="Q44" s="483" t="inlineStr">
        <is>
          <t>-</t>
        </is>
      </c>
      <c r="R44" s="257" t="inlineStr">
        <is>
          <t>N/a</t>
        </is>
      </c>
      <c r="S44" s="257" t="inlineStr">
        <is>
          <t>N/a</t>
        </is>
      </c>
      <c r="T44" s="257" t="inlineStr">
        <is>
          <t>N/a</t>
        </is>
      </c>
      <c r="U44" s="257" t="inlineStr">
        <is>
          <t>N/a</t>
        </is>
      </c>
      <c r="V44" s="257" t="inlineStr">
        <is>
          <t>N/a</t>
        </is>
      </c>
      <c r="W44" s="221" t="n"/>
      <c r="X44" s="212" t="n"/>
    </row>
    <row r="45" ht="15" customFormat="1" customHeight="1" s="383" thickBot="1">
      <c r="A45" s="215" t="n"/>
      <c r="B45" s="227" t="n"/>
      <c r="C45" s="487" t="inlineStr">
        <is>
          <t>NOTES</t>
        </is>
      </c>
      <c r="D45" s="476" t="n"/>
      <c r="E45" s="476" t="n"/>
      <c r="F45" s="476" t="n"/>
      <c r="G45" s="476" t="n"/>
      <c r="H45" s="476" t="n"/>
      <c r="I45" s="476" t="n"/>
      <c r="J45" s="476" t="n"/>
      <c r="K45" s="476" t="n"/>
      <c r="L45" s="476" t="n"/>
      <c r="M45" s="476" t="n"/>
      <c r="N45" s="476" t="n"/>
      <c r="O45" s="476" t="n"/>
      <c r="P45" s="476" t="n"/>
      <c r="Q45" s="477" t="n"/>
      <c r="R45" s="488" t="inlineStr">
        <is>
          <t>Work Orders</t>
        </is>
      </c>
      <c r="S45" s="471" t="n"/>
      <c r="T45" s="471" t="n"/>
      <c r="U45" s="471" t="n"/>
      <c r="V45" s="472" t="n"/>
      <c r="W45" s="228" t="n"/>
      <c r="X45" s="212" t="n"/>
    </row>
    <row r="46" ht="15" customFormat="1" customHeight="1" s="383" thickBot="1">
      <c r="A46" s="215" t="n"/>
      <c r="B46" s="220" t="n">
        <v>1</v>
      </c>
      <c r="C46" s="489" t="inlineStr">
        <is>
          <t>PTX19 - Replaced as the transducer (3330387) was not giving a steady reading and could not be calibrated.</t>
        </is>
      </c>
      <c r="D46" s="471" t="n"/>
      <c r="E46" s="471" t="n"/>
      <c r="F46" s="471" t="n"/>
      <c r="G46" s="471" t="n"/>
      <c r="H46" s="471" t="n"/>
      <c r="I46" s="471" t="n"/>
      <c r="J46" s="471" t="n"/>
      <c r="K46" s="471" t="n"/>
      <c r="L46" s="471" t="n"/>
      <c r="M46" s="471" t="n"/>
      <c r="N46" s="471" t="n"/>
      <c r="O46" s="471" t="n"/>
      <c r="P46" s="471" t="n"/>
      <c r="Q46" s="472" t="n"/>
      <c r="R46" s="490" t="n"/>
      <c r="S46" s="471" t="n"/>
      <c r="T46" s="471" t="n"/>
      <c r="U46" s="471" t="n"/>
      <c r="V46" s="472" t="n"/>
      <c r="W46" s="229" t="n"/>
      <c r="X46" s="212" t="n"/>
    </row>
    <row r="47" ht="15" customFormat="1" customHeight="1" s="383" thickBot="1">
      <c r="A47" s="215" t="n"/>
      <c r="B47" s="222" t="n">
        <v>2</v>
      </c>
      <c r="C47" s="489" t="inlineStr">
        <is>
          <t>PTX41 - Replaced as the transducer (3379672) was not giving a steady reading and could not be calibrated.</t>
        </is>
      </c>
      <c r="D47" s="471" t="n"/>
      <c r="E47" s="471" t="n"/>
      <c r="F47" s="471" t="n"/>
      <c r="G47" s="471" t="n"/>
      <c r="H47" s="471" t="n"/>
      <c r="I47" s="471" t="n"/>
      <c r="J47" s="471" t="n"/>
      <c r="K47" s="471" t="n"/>
      <c r="L47" s="471" t="n"/>
      <c r="M47" s="471" t="n"/>
      <c r="N47" s="471" t="n"/>
      <c r="O47" s="471" t="n"/>
      <c r="P47" s="471" t="n"/>
      <c r="Q47" s="472" t="n"/>
      <c r="R47" s="490" t="n"/>
      <c r="S47" s="471" t="n"/>
      <c r="T47" s="471" t="n"/>
      <c r="U47" s="471" t="n"/>
      <c r="V47" s="472" t="n"/>
      <c r="W47" s="229" t="n"/>
      <c r="X47" s="212" t="n"/>
    </row>
    <row r="48" ht="15" customFormat="1" customHeight="1" s="383" thickBot="1">
      <c r="A48" s="382" t="n"/>
      <c r="B48" s="222" t="n">
        <v>3</v>
      </c>
      <c r="C48" s="489" t="inlineStr">
        <is>
          <t>T8 - Unstable Channel - Could not be calibrated due to voltage fluctuations. IN BOND</t>
        </is>
      </c>
      <c r="D48" s="471" t="n"/>
      <c r="E48" s="471" t="n"/>
      <c r="F48" s="471" t="n"/>
      <c r="G48" s="471" t="n"/>
      <c r="H48" s="471" t="n"/>
      <c r="I48" s="471" t="n"/>
      <c r="J48" s="471" t="n"/>
      <c r="K48" s="471" t="n"/>
      <c r="L48" s="471" t="n"/>
      <c r="M48" s="471" t="n"/>
      <c r="N48" s="471" t="n"/>
      <c r="O48" s="471" t="n"/>
      <c r="P48" s="471" t="n"/>
      <c r="Q48" s="472" t="n"/>
      <c r="R48" s="490" t="n"/>
      <c r="S48" s="471" t="n"/>
      <c r="T48" s="471" t="n"/>
      <c r="U48" s="471" t="n"/>
      <c r="V48" s="472" t="n"/>
      <c r="W48" s="229" t="n"/>
      <c r="X48" s="212" t="n"/>
    </row>
    <row r="49" ht="15" customFormat="1" customHeight="1" s="383" thickBot="1">
      <c r="A49" s="212" t="n"/>
      <c r="B49" s="222" t="n">
        <v>4</v>
      </c>
      <c r="C49" s="489" t="inlineStr">
        <is>
          <t>T7 - Unstable Channel - Could not be calibrated due to voltage fluctuations. IN BOND</t>
        </is>
      </c>
      <c r="D49" s="471" t="n"/>
      <c r="E49" s="471" t="n"/>
      <c r="F49" s="471" t="n"/>
      <c r="G49" s="471" t="n"/>
      <c r="H49" s="471" t="n"/>
      <c r="I49" s="471" t="n"/>
      <c r="J49" s="471" t="n"/>
      <c r="K49" s="471" t="n"/>
      <c r="L49" s="471" t="n"/>
      <c r="M49" s="471" t="n"/>
      <c r="N49" s="471" t="n"/>
      <c r="O49" s="471" t="n"/>
      <c r="P49" s="471" t="n"/>
      <c r="Q49" s="472" t="n"/>
      <c r="R49" s="490" t="n"/>
      <c r="S49" s="471" t="n"/>
      <c r="T49" s="471" t="n"/>
      <c r="U49" s="471" t="n"/>
      <c r="V49" s="472" t="n"/>
      <c r="W49" s="229" t="n"/>
      <c r="X49" s="212" t="n"/>
    </row>
    <row r="50" ht="15" customFormat="1" customHeight="1" s="383" thickBot="1">
      <c r="A50" s="382" t="n"/>
      <c r="B50" s="222" t="n">
        <v>5</v>
      </c>
      <c r="C50" s="489" t="inlineStr">
        <is>
          <t>T16 - Unstable Channel - Could not be calibrated due to voltage fluctuations. IN BOND</t>
        </is>
      </c>
      <c r="D50" s="471" t="n"/>
      <c r="E50" s="471" t="n"/>
      <c r="F50" s="471" t="n"/>
      <c r="G50" s="471" t="n"/>
      <c r="H50" s="471" t="n"/>
      <c r="I50" s="471" t="n"/>
      <c r="J50" s="471" t="n"/>
      <c r="K50" s="471" t="n"/>
      <c r="L50" s="471" t="n"/>
      <c r="M50" s="471" t="n"/>
      <c r="N50" s="471" t="n"/>
      <c r="O50" s="471" t="n"/>
      <c r="P50" s="471" t="n"/>
      <c r="Q50" s="472" t="n"/>
      <c r="R50" s="490" t="n"/>
      <c r="S50" s="471" t="n"/>
      <c r="T50" s="471" t="n"/>
      <c r="U50" s="471" t="n"/>
      <c r="V50" s="472" t="n"/>
      <c r="W50" s="229" t="n"/>
      <c r="X50" s="215" t="n"/>
    </row>
    <row r="51" ht="15" customFormat="1" customHeight="1" s="383" thickBot="1">
      <c r="A51" s="382" t="n"/>
      <c r="B51" s="222" t="n">
        <v>6</v>
      </c>
      <c r="C51" s="489" t="inlineStr">
        <is>
          <t>T23 - Unstable Channel - Could not be calibrated due to voltage fluctuations. IN BOND</t>
        </is>
      </c>
      <c r="D51" s="471" t="n"/>
      <c r="E51" s="471" t="n"/>
      <c r="F51" s="471" t="n"/>
      <c r="G51" s="471" t="n"/>
      <c r="H51" s="471" t="n"/>
      <c r="I51" s="471" t="n"/>
      <c r="J51" s="471" t="n"/>
      <c r="K51" s="471" t="n"/>
      <c r="L51" s="471" t="n"/>
      <c r="M51" s="471" t="n"/>
      <c r="N51" s="471" t="n"/>
      <c r="O51" s="471" t="n"/>
      <c r="P51" s="471" t="n"/>
      <c r="Q51" s="472" t="n"/>
      <c r="R51" s="490" t="n"/>
      <c r="S51" s="471" t="n"/>
      <c r="T51" s="471" t="n"/>
      <c r="U51" s="471" t="n"/>
      <c r="V51" s="472" t="n"/>
      <c r="W51" s="229" t="n"/>
      <c r="X51" s="215" t="n"/>
    </row>
    <row r="52" ht="15" customFormat="1" customHeight="1" s="383" thickBot="1">
      <c r="A52" s="382" t="n"/>
      <c r="B52" s="222" t="n">
        <v>7</v>
      </c>
      <c r="C52" s="489" t="inlineStr">
        <is>
          <t>T24 - Unstable Channel - Could not be calibrated due to voltage fluctuations. IN BOND</t>
        </is>
      </c>
      <c r="D52" s="471" t="n"/>
      <c r="E52" s="471" t="n"/>
      <c r="F52" s="471" t="n"/>
      <c r="G52" s="471" t="n"/>
      <c r="H52" s="471" t="n"/>
      <c r="I52" s="471" t="n"/>
      <c r="J52" s="471" t="n"/>
      <c r="K52" s="471" t="n"/>
      <c r="L52" s="471" t="n"/>
      <c r="M52" s="471" t="n"/>
      <c r="N52" s="471" t="n"/>
      <c r="O52" s="471" t="n"/>
      <c r="P52" s="471" t="n"/>
      <c r="Q52" s="472" t="n"/>
      <c r="R52" s="490" t="n"/>
      <c r="S52" s="471" t="n"/>
      <c r="T52" s="471" t="n"/>
      <c r="U52" s="471" t="n"/>
      <c r="V52" s="472" t="n"/>
      <c r="W52" s="229" t="n"/>
      <c r="X52" s="215" t="n"/>
    </row>
    <row r="53" ht="15" customFormat="1" customHeight="1" s="383" thickBot="1">
      <c r="A53" s="382" t="n"/>
      <c r="B53" s="222" t="n">
        <v>8</v>
      </c>
      <c r="C53" s="489" t="inlineStr">
        <is>
          <t>T15 - Unstable Channel - Could not be calibrated due to voltage fluctuations. IN BOND</t>
        </is>
      </c>
      <c r="D53" s="471" t="n"/>
      <c r="E53" s="471" t="n"/>
      <c r="F53" s="471" t="n"/>
      <c r="G53" s="471" t="n"/>
      <c r="H53" s="471" t="n"/>
      <c r="I53" s="471" t="n"/>
      <c r="J53" s="471" t="n"/>
      <c r="K53" s="471" t="n"/>
      <c r="L53" s="471" t="n"/>
      <c r="M53" s="471" t="n"/>
      <c r="N53" s="471" t="n"/>
      <c r="O53" s="471" t="n"/>
      <c r="P53" s="471" t="n"/>
      <c r="Q53" s="472" t="n"/>
      <c r="R53" s="490" t="n"/>
      <c r="S53" s="471" t="n"/>
      <c r="T53" s="471" t="n"/>
      <c r="U53" s="471" t="n"/>
      <c r="V53" s="472" t="n"/>
      <c r="W53" s="229" t="n"/>
      <c r="X53" s="215" t="n"/>
    </row>
    <row r="54" ht="15" customFormat="1" customHeight="1" s="383" thickBot="1">
      <c r="A54" s="382" t="n"/>
      <c r="B54" s="222" t="n">
        <v>9</v>
      </c>
      <c r="C54" s="489" t="n"/>
      <c r="D54" s="471" t="n"/>
      <c r="E54" s="471" t="n"/>
      <c r="F54" s="471" t="n"/>
      <c r="G54" s="471" t="n"/>
      <c r="H54" s="471" t="n"/>
      <c r="I54" s="471" t="n"/>
      <c r="J54" s="471" t="n"/>
      <c r="K54" s="471" t="n"/>
      <c r="L54" s="471" t="n"/>
      <c r="M54" s="471" t="n"/>
      <c r="N54" s="471" t="n"/>
      <c r="O54" s="471" t="n"/>
      <c r="P54" s="471" t="n"/>
      <c r="Q54" s="472" t="n"/>
      <c r="R54" s="490" t="n"/>
      <c r="S54" s="471" t="n"/>
      <c r="T54" s="471" t="n"/>
      <c r="U54" s="471" t="n"/>
      <c r="V54" s="472" t="n"/>
      <c r="W54" s="229" t="n"/>
      <c r="X54" s="215" t="n"/>
    </row>
    <row r="55" ht="15" customFormat="1" customHeight="1" s="383" thickBot="1">
      <c r="A55" s="382" t="n"/>
      <c r="B55" s="224" t="n">
        <v>10</v>
      </c>
      <c r="C55" s="489" t="n"/>
      <c r="D55" s="471" t="n"/>
      <c r="E55" s="471" t="n"/>
      <c r="F55" s="471" t="n"/>
      <c r="G55" s="471" t="n"/>
      <c r="H55" s="471" t="n"/>
      <c r="I55" s="471" t="n"/>
      <c r="J55" s="471" t="n"/>
      <c r="K55" s="471" t="n"/>
      <c r="L55" s="471" t="n"/>
      <c r="M55" s="471" t="n"/>
      <c r="N55" s="471" t="n"/>
      <c r="O55" s="471" t="n"/>
      <c r="P55" s="471" t="n"/>
      <c r="Q55" s="472" t="n"/>
      <c r="R55" s="490" t="n"/>
      <c r="S55" s="471" t="n"/>
      <c r="T55" s="471" t="n"/>
      <c r="U55" s="471" t="n"/>
      <c r="V55" s="472" t="n"/>
      <c r="W55" s="229" t="n"/>
      <c r="X55" s="215" t="n"/>
    </row>
    <row r="56" ht="15" customFormat="1" customHeight="1" s="383">
      <c r="A56" s="382" t="n"/>
      <c r="B56" s="382" t="n"/>
      <c r="C56" s="225" t="n"/>
      <c r="D56" s="225" t="n"/>
      <c r="E56" s="215" t="n"/>
      <c r="F56" s="214" t="n"/>
      <c r="G56" s="215" t="n"/>
      <c r="H56" s="491" t="n"/>
      <c r="I56" s="491" t="n"/>
      <c r="J56" s="491" t="n"/>
      <c r="K56" s="491" t="n"/>
      <c r="L56" s="215" t="n"/>
      <c r="N56" s="383" t="n"/>
      <c r="O56" s="383" t="n"/>
      <c r="P56" s="383" t="n"/>
      <c r="R56" s="383" t="n"/>
      <c r="S56" s="383" t="n"/>
      <c r="T56" s="383" t="n"/>
      <c r="V56" s="215" t="n"/>
      <c r="W56" s="215" t="n"/>
      <c r="X56" s="215" t="n"/>
    </row>
    <row r="57" ht="15" customFormat="1" customHeight="1" s="383">
      <c r="B57" s="276" t="inlineStr">
        <is>
          <t>This calibration report shall only be reproduced in full, unless otherwise authorised in writing by Caterpillar management.</t>
        </is>
      </c>
      <c r="C57" s="461" t="n"/>
      <c r="D57" s="461" t="n"/>
      <c r="E57" s="461" t="n"/>
      <c r="F57" s="461" t="n"/>
      <c r="G57" s="461" t="n"/>
      <c r="H57" s="461" t="n"/>
      <c r="I57" s="461" t="n"/>
      <c r="J57" s="461" t="n"/>
      <c r="K57" s="461" t="n"/>
      <c r="L57" s="461" t="n"/>
      <c r="M57" s="461" t="n"/>
      <c r="N57" s="461" t="n"/>
      <c r="O57" s="461" t="n"/>
      <c r="P57" s="461" t="n"/>
      <c r="Q57" s="461" t="n"/>
      <c r="R57" s="461" t="n"/>
      <c r="S57" s="461" t="n"/>
      <c r="T57" s="461" t="n"/>
      <c r="U57" s="461" t="n"/>
      <c r="V57" s="461" t="n"/>
      <c r="W57" s="215" t="n"/>
      <c r="X57" s="215" t="n"/>
    </row>
    <row r="58" ht="15" customFormat="1" customHeight="1" s="383">
      <c r="A58" s="289" t="n"/>
      <c r="B58" s="461" t="n"/>
      <c r="C58" s="461" t="n"/>
      <c r="D58" s="461" t="n"/>
      <c r="E58" s="461" t="n"/>
      <c r="F58" s="461" t="n"/>
      <c r="G58" s="461" t="n"/>
      <c r="H58" s="461" t="n"/>
      <c r="I58" s="461" t="n"/>
      <c r="J58" s="461" t="n"/>
      <c r="K58" s="461" t="n"/>
      <c r="L58" s="461" t="n"/>
      <c r="M58" s="461" t="n"/>
      <c r="N58" s="461" t="n"/>
      <c r="O58" s="461" t="n"/>
      <c r="P58" s="461" t="n"/>
      <c r="Q58" s="461" t="n"/>
      <c r="R58" s="461" t="n"/>
      <c r="S58" s="461" t="n"/>
      <c r="T58" s="461" t="n"/>
      <c r="U58" s="461" t="n"/>
      <c r="V58" s="461" t="n"/>
      <c r="W58" s="215" t="n"/>
      <c r="X58" s="215" t="n"/>
    </row>
    <row r="59" ht="13" customHeight="1" thickBot="1">
      <c r="A59" s="382" t="n"/>
      <c r="B59" s="382" t="n"/>
      <c r="C59" s="225" t="n"/>
      <c r="D59" s="225" t="n"/>
      <c r="E59" s="215" t="n"/>
      <c r="F59" s="214" t="n"/>
      <c r="G59" s="215" t="n"/>
      <c r="H59" s="491" t="n"/>
      <c r="I59" s="491" t="n"/>
      <c r="J59" s="491" t="n"/>
      <c r="K59" s="491" t="n"/>
      <c r="L59" s="215" t="n"/>
      <c r="M59" s="383" t="n"/>
      <c r="N59" s="383" t="n"/>
      <c r="O59" s="383" t="n"/>
      <c r="P59" s="383" t="n"/>
      <c r="Q59" s="383" t="n"/>
      <c r="R59" s="383" t="n"/>
      <c r="S59" s="383" t="n"/>
      <c r="T59" s="383" t="n"/>
      <c r="U59" s="383" t="n"/>
      <c r="V59" s="215" t="n"/>
      <c r="W59" s="215" t="n"/>
      <c r="X59" s="215" t="n"/>
    </row>
    <row r="60" ht="13" customHeight="1" thickBot="1">
      <c r="A60" s="382" t="n"/>
      <c r="B60" s="382" t="n"/>
      <c r="C60" s="214" t="n"/>
      <c r="D60" s="214" t="n"/>
      <c r="E60" s="214" t="inlineStr">
        <is>
          <t xml:space="preserve">Previous Bed Calibration: </t>
        </is>
      </c>
      <c r="F60" s="492" t="n">
        <v>44531</v>
      </c>
      <c r="G60" s="472" t="n"/>
      <c r="H60" s="383" t="n"/>
      <c r="I60" s="383" t="n"/>
      <c r="J60" s="383" t="n"/>
      <c r="K60" s="383" t="n"/>
      <c r="L60" s="383" t="n"/>
      <c r="M60" s="214" t="n"/>
      <c r="N60" s="214" t="n"/>
      <c r="O60" s="214" t="n"/>
      <c r="P60" s="214" t="n"/>
      <c r="Q60" s="214" t="inlineStr">
        <is>
          <t>Proposed Next Calibration:</t>
        </is>
      </c>
      <c r="R60" s="214" t="n"/>
      <c r="S60" s="214" t="n"/>
      <c r="T60" s="214" t="n"/>
      <c r="U60" s="492">
        <f>Title!F4</f>
        <v/>
      </c>
      <c r="V60" s="472" t="n"/>
      <c r="W60" s="493" t="n"/>
      <c r="X60" s="215" t="n"/>
    </row>
    <row r="61" ht="13" customHeight="1" thickBot="1">
      <c r="A61" s="382" t="n"/>
      <c r="B61" s="382" t="n"/>
      <c r="C61" s="382" t="n"/>
      <c r="D61" s="382" t="n"/>
      <c r="E61" s="382" t="n"/>
      <c r="F61" s="382" t="n"/>
      <c r="G61" s="382" t="n"/>
      <c r="H61" s="382" t="n"/>
      <c r="I61" s="382" t="n"/>
      <c r="J61" s="382" t="n"/>
      <c r="K61" s="382" t="n"/>
      <c r="L61" s="382" t="n"/>
      <c r="M61" s="382" t="n"/>
      <c r="N61" s="382" t="n"/>
      <c r="O61" s="382" t="n"/>
      <c r="P61" s="382" t="n"/>
      <c r="Q61" s="382" t="n"/>
      <c r="R61" s="382" t="n"/>
      <c r="S61" s="382" t="n"/>
      <c r="T61" s="382" t="n"/>
      <c r="U61" s="382" t="n"/>
      <c r="V61" s="215" t="n"/>
      <c r="W61" s="215" t="n"/>
      <c r="X61" s="215" t="n"/>
    </row>
    <row r="62" ht="13" customHeight="1" thickBot="1">
      <c r="A62" s="382" t="n"/>
      <c r="B62" s="491" t="n"/>
      <c r="C62" s="214" t="n"/>
      <c r="D62" s="214" t="n"/>
      <c r="E62" s="214" t="inlineStr">
        <is>
          <t xml:space="preserve">Previous Dynamometer Calibration: </t>
        </is>
      </c>
      <c r="F62" s="492" t="n"/>
      <c r="G62" s="472" t="n"/>
      <c r="H62" s="383" t="n"/>
      <c r="I62" s="383" t="n"/>
      <c r="J62" s="383" t="n"/>
      <c r="K62" s="383" t="n"/>
      <c r="L62" s="215" t="n"/>
      <c r="M62" s="383" t="n"/>
      <c r="N62" s="383" t="n"/>
      <c r="O62" s="383" t="n"/>
      <c r="P62" s="383" t="n"/>
      <c r="Q62" s="383" t="n"/>
      <c r="R62" s="383" t="n"/>
      <c r="S62" s="383" t="n"/>
      <c r="T62" s="383" t="n"/>
      <c r="U62" s="382" t="n"/>
      <c r="V62" s="215" t="n"/>
      <c r="W62" s="215" t="n"/>
      <c r="X62" s="215" t="n"/>
    </row>
    <row r="63">
      <c r="A63" s="382" t="n"/>
      <c r="B63" s="382" t="n"/>
      <c r="C63" s="382" t="n"/>
      <c r="D63" s="382" t="n"/>
      <c r="E63" s="215" t="n"/>
      <c r="F63" s="382" t="n"/>
      <c r="G63" s="215" t="n"/>
      <c r="H63" s="491" t="n"/>
      <c r="I63" s="491" t="n"/>
      <c r="J63" s="491" t="n"/>
      <c r="K63" s="491" t="n"/>
      <c r="L63" s="215" t="n"/>
      <c r="M63" s="383" t="n"/>
      <c r="N63" s="383" t="n"/>
      <c r="O63" s="383" t="n"/>
      <c r="P63" s="383" t="n"/>
      <c r="Q63" s="383" t="n"/>
      <c r="R63" s="383" t="n"/>
      <c r="S63" s="383" t="n"/>
      <c r="T63" s="383" t="n"/>
      <c r="U63" s="383" t="n"/>
      <c r="V63" s="215" t="n"/>
      <c r="W63" s="215" t="n"/>
      <c r="X63" s="215" t="n"/>
    </row>
  </sheetData>
  <mergeCells count="70">
    <mergeCell ref="R48:V48"/>
    <mergeCell ref="C30:D30"/>
    <mergeCell ref="C24:D24"/>
    <mergeCell ref="C47:Q47"/>
    <mergeCell ref="C15:D15"/>
    <mergeCell ref="C54:Q54"/>
    <mergeCell ref="C34:V34"/>
    <mergeCell ref="C50:Q50"/>
    <mergeCell ref="C33:D33"/>
    <mergeCell ref="C42:D42"/>
    <mergeCell ref="R11:V11"/>
    <mergeCell ref="C14:D14"/>
    <mergeCell ref="C55:Q55"/>
    <mergeCell ref="C26:D26"/>
    <mergeCell ref="C18:D18"/>
    <mergeCell ref="E8:F8"/>
    <mergeCell ref="A4:V4"/>
    <mergeCell ref="C35:D35"/>
    <mergeCell ref="C20:D20"/>
    <mergeCell ref="R49:V49"/>
    <mergeCell ref="C29:D29"/>
    <mergeCell ref="C51:Q51"/>
    <mergeCell ref="C46:Q46"/>
    <mergeCell ref="C16:D16"/>
    <mergeCell ref="M11:Q11"/>
    <mergeCell ref="C25:D25"/>
    <mergeCell ref="C52:Q52"/>
    <mergeCell ref="C44:D44"/>
    <mergeCell ref="C22:D22"/>
    <mergeCell ref="C40:D40"/>
    <mergeCell ref="C10:V10"/>
    <mergeCell ref="C31:D31"/>
    <mergeCell ref="C48:Q48"/>
    <mergeCell ref="R45:V45"/>
    <mergeCell ref="C41:V41"/>
    <mergeCell ref="C43:D43"/>
    <mergeCell ref="R55:V55"/>
    <mergeCell ref="R51:V51"/>
    <mergeCell ref="F62:G62"/>
    <mergeCell ref="H11:L11"/>
    <mergeCell ref="C21:D21"/>
    <mergeCell ref="A1:V1"/>
    <mergeCell ref="C11:D11"/>
    <mergeCell ref="C12:V12"/>
    <mergeCell ref="C27:D27"/>
    <mergeCell ref="Q6:U6"/>
    <mergeCell ref="R47:V47"/>
    <mergeCell ref="C53:Q53"/>
    <mergeCell ref="R54:V54"/>
    <mergeCell ref="C36:D36"/>
    <mergeCell ref="R50:V50"/>
    <mergeCell ref="C49:Q49"/>
    <mergeCell ref="C17:D17"/>
    <mergeCell ref="C23:D23"/>
    <mergeCell ref="C39:D39"/>
    <mergeCell ref="B57:V58"/>
    <mergeCell ref="R52:V52"/>
    <mergeCell ref="R53:V53"/>
    <mergeCell ref="C32:D32"/>
    <mergeCell ref="C38:D38"/>
    <mergeCell ref="F60:G60"/>
    <mergeCell ref="C19:D19"/>
    <mergeCell ref="C37:D37"/>
    <mergeCell ref="R46:V46"/>
    <mergeCell ref="C28:D28"/>
    <mergeCell ref="C45:Q45"/>
    <mergeCell ref="C13:D13"/>
    <mergeCell ref="A3:V3"/>
    <mergeCell ref="Q8:V8"/>
    <mergeCell ref="U60:V60"/>
  </mergeCells>
  <conditionalFormatting sqref="M13:Q13">
    <cfRule type="cellIs" priority="1" operator="notBetween" dxfId="1" stopIfTrue="1">
      <formula>M$9-$S$9</formula>
      <formula>M$9+$S$9</formula>
    </cfRule>
    <cfRule type="cellIs" priority="2" operator="notBetween" dxfId="0" stopIfTrue="1">
      <formula>M$9-$S$9*0.8</formula>
      <formula>M$9+$S$9*0.8</formula>
    </cfRule>
  </conditionalFormatting>
  <dataValidations disablePrompts="1" count="1">
    <dataValidation sqref="Q8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72" fitToHeight="0"/>
  <headerFooter>
    <oddHeader>&amp;L&amp;G&amp;RPerkins Engines Company Limited_x000a_Tixall Road_x000a_Stafford_x000a_ST16 3UB_x000a_United Kingdom_x000a__x000a_Tel: +44 (0)1785 215 700_x000a_Fax: +44 (0)1785 215 110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8">
    <tabColor rgb="FFE0E0E0"/>
    <outlinePr summaryBelow="1" summaryRight="1"/>
    <pageSetUpPr fitToPage="1"/>
  </sheetPr>
  <dimension ref="A1:U111"/>
  <sheetViews>
    <sheetView topLeftCell="A88" zoomScaleNormal="100" workbookViewId="0">
      <selection activeCell="E113" sqref="E113"/>
    </sheetView>
  </sheetViews>
  <sheetFormatPr baseColWidth="8" defaultColWidth="9.1796875" defaultRowHeight="12.5"/>
  <cols>
    <col width="3.7265625" customWidth="1" style="1" min="1" max="1"/>
    <col width="11.7265625" bestFit="1" customWidth="1" style="1" min="2" max="2"/>
    <col width="20.7265625" customWidth="1" style="3" min="3" max="3"/>
    <col width="9.36328125" bestFit="1" customWidth="1" style="1" min="4" max="4"/>
    <col width="24.54296875" bestFit="1" customWidth="1" style="1" min="5" max="5"/>
    <col width="8.7265625" customWidth="1" style="1" min="6" max="9"/>
    <col width="8.08984375" bestFit="1" customWidth="1" style="1" min="10" max="10"/>
    <col width="7.81640625" customWidth="1" style="1" min="11" max="11"/>
    <col width="8.7265625" customWidth="1" style="1" min="12" max="17"/>
    <col width="9.7265625" customWidth="1" style="1" min="18" max="18"/>
    <col width="15" bestFit="1" customWidth="1" style="1" min="19" max="19"/>
    <col width="18.453125" bestFit="1" customWidth="1" style="1" min="20" max="20"/>
    <col width="9.1796875" customWidth="1" style="1" min="21" max="16384"/>
  </cols>
  <sheetData>
    <row r="1" ht="13" customFormat="1" customHeight="1" s="2" thickTop="1">
      <c r="A1" s="38" t="n"/>
      <c r="B1" s="39" t="n"/>
      <c r="C1" s="39" t="n"/>
      <c r="D1" s="39" t="n"/>
      <c r="E1" s="39" t="n"/>
      <c r="F1" s="39" t="n"/>
      <c r="G1" s="39" t="n"/>
      <c r="H1" s="39" t="n"/>
      <c r="I1" s="39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83" t="n"/>
    </row>
    <row r="2" ht="25" customFormat="1" customHeight="1" s="6">
      <c r="A2" s="494" t="inlineStr">
        <is>
          <t>Test Bed Pressure Measurement Calibration</t>
        </is>
      </c>
      <c r="B2" s="461" t="n"/>
      <c r="C2" s="461" t="n"/>
      <c r="D2" s="461" t="n"/>
      <c r="E2" s="461" t="n"/>
      <c r="F2" s="461" t="n"/>
      <c r="G2" s="461" t="n"/>
      <c r="H2" s="461" t="n"/>
      <c r="I2" s="461" t="n"/>
      <c r="J2" s="461" t="n"/>
      <c r="K2" s="461" t="n"/>
      <c r="L2" s="461" t="n"/>
      <c r="M2" s="461" t="n"/>
      <c r="N2" s="461" t="n"/>
      <c r="O2" s="461" t="n"/>
      <c r="P2" s="461" t="n"/>
      <c r="Q2" s="461" t="n"/>
      <c r="R2" s="461" t="n"/>
      <c r="S2" s="461" t="n"/>
      <c r="T2" s="461" t="n"/>
      <c r="U2" s="495" t="n"/>
    </row>
    <row r="3" ht="15" customFormat="1" customHeight="1" s="6" thickBot="1">
      <c r="A3" s="40" t="n"/>
      <c r="B3" s="12" t="n"/>
      <c r="C3" s="13" t="n"/>
      <c r="D3" s="13" t="n"/>
      <c r="E3" s="13" t="n"/>
      <c r="F3" s="13" t="n"/>
      <c r="G3" s="13" t="n"/>
      <c r="H3" s="12" t="n"/>
      <c r="I3" s="84" t="n"/>
      <c r="J3" s="12" t="n"/>
      <c r="K3" s="12" t="n"/>
      <c r="L3" s="12" t="n"/>
      <c r="M3" s="12" t="n"/>
      <c r="N3" s="12" t="n"/>
      <c r="O3" s="12" t="n"/>
      <c r="P3" s="12" t="n"/>
      <c r="Q3" s="12" t="n"/>
      <c r="R3" s="12" t="n"/>
      <c r="S3" s="12" t="n"/>
      <c r="T3" s="12" t="n"/>
      <c r="U3" s="41" t="n"/>
    </row>
    <row r="4" ht="15" customFormat="1" customHeight="1" s="2" thickBot="1">
      <c r="A4" s="40" t="n"/>
      <c r="B4" s="11" t="inlineStr">
        <is>
          <t xml:space="preserve">Job No. </t>
        </is>
      </c>
      <c r="C4" s="191">
        <f>Title!C4</f>
        <v/>
      </c>
      <c r="D4" s="25" t="n"/>
      <c r="E4" s="183" t="n"/>
      <c r="F4" s="12" t="n"/>
      <c r="G4" s="11" t="inlineStr">
        <is>
          <t xml:space="preserve">Calibrated By. </t>
        </is>
      </c>
      <c r="H4" s="496">
        <f>Title!C3</f>
        <v/>
      </c>
      <c r="I4" s="472" t="n"/>
      <c r="J4" s="12" t="n"/>
      <c r="K4" s="12" t="n"/>
      <c r="L4" s="11" t="inlineStr">
        <is>
          <t xml:space="preserve">Calibration Date. </t>
        </is>
      </c>
      <c r="M4" s="497">
        <f>Title!C9</f>
        <v/>
      </c>
      <c r="N4" s="471" t="n"/>
      <c r="O4" s="472" t="n"/>
      <c r="P4" s="14" t="n"/>
      <c r="Q4" s="11" t="n"/>
      <c r="R4" s="11" t="inlineStr">
        <is>
          <t xml:space="preserve">Bed No. </t>
        </is>
      </c>
      <c r="S4" s="498">
        <f>Title!F3</f>
        <v/>
      </c>
      <c r="T4" s="472" t="n"/>
      <c r="U4" s="85" t="n"/>
    </row>
    <row r="5" ht="15" customFormat="1" customHeight="1" s="2">
      <c r="A5" s="40" t="n"/>
      <c r="B5" s="12" t="n"/>
      <c r="C5" s="13" t="n"/>
      <c r="D5" s="13" t="n"/>
      <c r="E5" s="13" t="n"/>
      <c r="F5" s="11" t="n"/>
      <c r="G5" s="13" t="n"/>
      <c r="H5" s="11" t="n"/>
      <c r="I5" s="11" t="n"/>
      <c r="J5" s="14" t="n"/>
      <c r="K5" s="14" t="n"/>
      <c r="L5" s="14" t="n"/>
      <c r="M5" s="14" t="n"/>
      <c r="N5" s="12" t="n"/>
      <c r="O5" s="14" t="n"/>
      <c r="P5" s="14" t="n"/>
      <c r="Q5" s="14" t="n"/>
      <c r="R5" s="14" t="n"/>
      <c r="S5" s="14" t="n"/>
      <c r="T5" s="14" t="n"/>
      <c r="U5" s="42" t="n"/>
    </row>
    <row r="6" ht="15" customFormat="1" customHeight="1" s="4">
      <c r="A6" s="43" t="inlineStr">
        <is>
          <t>Acceptable Deviation: 0.2% Full Scale.  Adjust if error &gt;80% accepted tolerance.</t>
        </is>
      </c>
      <c r="B6" s="13" t="n"/>
      <c r="C6" s="13" t="n"/>
      <c r="D6" s="13" t="n"/>
      <c r="E6" s="13" t="n"/>
      <c r="F6" s="13" t="n"/>
      <c r="G6" s="86" t="n"/>
      <c r="H6" s="86" t="n"/>
      <c r="I6" s="86" t="n"/>
      <c r="J6" s="13" t="n"/>
      <c r="K6" s="13" t="n"/>
      <c r="L6" s="13" t="n"/>
      <c r="M6" s="13" t="n"/>
      <c r="N6" s="13" t="n"/>
      <c r="O6" s="13" t="n"/>
      <c r="P6" s="13" t="n"/>
      <c r="Q6" s="13" t="n"/>
      <c r="R6" s="13" t="n"/>
      <c r="S6" s="13" t="n"/>
      <c r="T6" s="13" t="n"/>
      <c r="U6" s="44" t="n"/>
    </row>
    <row r="7" ht="15" customFormat="1" customHeight="1" s="4" thickBot="1">
      <c r="A7" s="40" t="n"/>
      <c r="B7" s="84" t="n"/>
      <c r="C7" s="84" t="n"/>
      <c r="D7" s="84" t="n"/>
      <c r="E7" s="84" t="n"/>
      <c r="F7" s="84" t="n"/>
      <c r="G7" s="84" t="n"/>
      <c r="H7" s="84" t="n"/>
      <c r="I7" s="84" t="n"/>
      <c r="J7" s="84" t="n"/>
      <c r="K7" s="8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42" t="n"/>
    </row>
    <row r="8" ht="15" customFormat="1" customHeight="1" s="2" thickBot="1">
      <c r="A8" s="40" t="n"/>
      <c r="B8" s="26" t="inlineStr">
        <is>
          <t>Channel No.</t>
        </is>
      </c>
      <c r="C8" s="26" t="inlineStr">
        <is>
          <t>Channel Name</t>
        </is>
      </c>
      <c r="D8" s="87" t="inlineStr">
        <is>
          <t>Range Min</t>
        </is>
      </c>
      <c r="E8" s="87" t="inlineStr">
        <is>
          <t>Range Max</t>
        </is>
      </c>
      <c r="F8" s="499" t="inlineStr">
        <is>
          <t>Pre-Calibration Set Points</t>
        </is>
      </c>
      <c r="G8" s="476" t="n"/>
      <c r="H8" s="476" t="n"/>
      <c r="I8" s="476" t="n"/>
      <c r="J8" s="477" t="n"/>
      <c r="K8" s="26" t="inlineStr">
        <is>
          <t>Result</t>
        </is>
      </c>
      <c r="L8" s="88" t="inlineStr">
        <is>
          <t>PC Used</t>
        </is>
      </c>
      <c r="M8" s="499" t="inlineStr">
        <is>
          <t>Post-Calibration Set Points</t>
        </is>
      </c>
      <c r="N8" s="476" t="n"/>
      <c r="O8" s="476" t="n"/>
      <c r="P8" s="476" t="n"/>
      <c r="Q8" s="477" t="n"/>
      <c r="R8" s="26" t="inlineStr">
        <is>
          <t>Units</t>
        </is>
      </c>
      <c r="S8" s="89" t="inlineStr">
        <is>
          <t>Tolerance</t>
        </is>
      </c>
      <c r="T8" s="26" t="inlineStr">
        <is>
          <t>Transducer Serial No.</t>
        </is>
      </c>
      <c r="U8" s="42" t="n"/>
    </row>
    <row r="9" ht="15" customFormat="1" customHeight="1" s="2" thickBot="1">
      <c r="A9" s="40" t="n"/>
      <c r="B9" s="337" t="n">
        <v>1</v>
      </c>
      <c r="C9" s="337" t="inlineStr">
        <is>
          <t>PTX1</t>
        </is>
      </c>
      <c r="D9" s="337" t="n">
        <v>-20</v>
      </c>
      <c r="E9" s="500" t="n">
        <v>0</v>
      </c>
      <c r="F9" s="163">
        <f>IF(AND(D9&lt;0,E9=0)=TRUE,0.98*D9,IF(AND(D9=0,E9&gt;0)=TRUE,0,IF(D9=-E9,0.98*D9,IF(AND(D9=-20,E9=100)=TRUE,0.98*D9,IF(AND(D9=-35,E9=300)=TRUE,0.98*D9,IF(AND(D9=-100,E9=160)=TRUE,80,IF(AND(D9=-100,E9=900)=TRUE,80,"x")))))))</f>
        <v/>
      </c>
      <c r="G9" s="90">
        <f>IF(AND(D9&lt;0,E9=0)=TRUE,0.75*D9,IF(AND(D9=0,E9&gt;0)=TRUE,0.25*E9,IF(D9=-E9,0.5*D9,IF(AND(D9=-20,E9=100)=TRUE,0,IF(AND(D9=-35,E9=300)=TRUE,0,IF(AND(D9=-100,E9=160)=TRUE,0,IF(AND(D9=-100,E9=900)=TRUE,0,"x")))))))</f>
        <v/>
      </c>
      <c r="H9" s="90">
        <f>IF(AND(D9&lt;0,E9=0)=TRUE,0.5*D9,IF(AND(D9=0,E9&gt;0)=TRUE,0.5*E9,IF(D9=-E9,0,IF(AND(D9=-20,E9=100)=TRUE,0.33*E9,IF(AND(D9=-35,E9=300)=TRUE,0.33*E9,IF(AND(D9=-100,E9=160)=TRUE,0.33*E9,IF(AND(D9=-100,E9=900)=TRUE,0.33*E9,"x")))))))</f>
        <v/>
      </c>
      <c r="I9" s="90">
        <f>IF(AND(D9&lt;0,E9=0)=TRUE,0.25*D9,IF(AND(D9=0,E9&gt;0)=TRUE,0.75*E9,IF(D9=-E9,0.5*E9,IF(AND(D9=-20,E9=100)=TRUE,0.66*E9,IF(AND(D9=-35,E9=300)=TRUE,0.66*E9,IF(AND(D9=-100,E9=160)=TRUE,0.66*E9,IF(AND(D9=-100,E9=900)=TRUE,0.66*E9,"x")))))))</f>
        <v/>
      </c>
      <c r="J9" s="91">
        <f>IF(AND(D9&lt;0,E9=0)=TRUE,0*D9,IF(AND(D9=0,E9&gt;0)=TRUE,0.98*E9,IF(D9=-E9,0.98*E9,IF(AND(D9=-20,E9=100)=TRUE,0.98*E9,IF(AND(D9=-35,E9=300)=TRUE,0.98*E9,IF(AND(D9=-100,E9=160)=TRUE,0.98*E9,IF(AND(D9=-100,E9=900)=TRUE,0.98*E9,"x")))))))</f>
        <v/>
      </c>
      <c r="K9" s="501" t="inlineStr">
        <is>
          <t>Fail</t>
        </is>
      </c>
      <c r="L9" s="502" t="inlineStr">
        <is>
          <t>-</t>
        </is>
      </c>
      <c r="M9" s="92">
        <f>F9</f>
        <v/>
      </c>
      <c r="N9" s="93">
        <f>G9</f>
        <v/>
      </c>
      <c r="O9" s="94">
        <f>H9</f>
        <v/>
      </c>
      <c r="P9" s="93">
        <f>I9</f>
        <v/>
      </c>
      <c r="Q9" s="95">
        <f>J9</f>
        <v/>
      </c>
      <c r="R9" s="503" t="inlineStr">
        <is>
          <t>kPa</t>
        </is>
      </c>
      <c r="S9" s="504">
        <f>IF(D9&lt;E9,(E9-D9)*0.002,"x")</f>
        <v/>
      </c>
      <c r="T9" s="503" t="n">
        <v>3381453</v>
      </c>
      <c r="U9" s="42" t="n"/>
    </row>
    <row r="10" ht="15" customFormat="1" customHeight="1" s="2" thickBot="1">
      <c r="A10" s="40" t="n"/>
      <c r="B10" s="505" t="n"/>
      <c r="C10" s="505" t="n"/>
      <c r="D10" s="505" t="n"/>
      <c r="E10" s="506" t="n"/>
      <c r="F10" s="480" t="n">
        <v>-19.67</v>
      </c>
      <c r="G10" s="481" t="n">
        <v>-15.07</v>
      </c>
      <c r="H10" s="481" t="n">
        <v>-10.07</v>
      </c>
      <c r="I10" s="481" t="n">
        <v>-5.09</v>
      </c>
      <c r="J10" s="482" t="n">
        <v>-1</v>
      </c>
      <c r="K10" s="505" t="n"/>
      <c r="L10" s="505" t="n"/>
      <c r="M10" s="480" t="n">
        <v>-19.59</v>
      </c>
      <c r="N10" s="481" t="n">
        <v>-14.99</v>
      </c>
      <c r="O10" s="481" t="n">
        <v>-9.98</v>
      </c>
      <c r="P10" s="481" t="n">
        <v>-4.99</v>
      </c>
      <c r="Q10" s="482" t="n">
        <v>0</v>
      </c>
      <c r="R10" s="505" t="n"/>
      <c r="S10" s="507" t="n"/>
      <c r="T10" s="505" t="n"/>
      <c r="U10" s="42" t="n"/>
    </row>
    <row r="11" ht="15" customFormat="1" customHeight="1" s="2" thickBot="1">
      <c r="A11" s="40" t="n"/>
      <c r="B11" s="337" t="n">
        <v>2</v>
      </c>
      <c r="C11" s="337" t="inlineStr">
        <is>
          <t>PTX2</t>
        </is>
      </c>
      <c r="D11" s="337" t="n">
        <v>-20</v>
      </c>
      <c r="E11" s="500" t="n">
        <v>0</v>
      </c>
      <c r="F11" s="163">
        <f>IF(AND(D11&lt;0,E11=0)=TRUE,0.98*D11,IF(AND(D11=0,E11&gt;0)=TRUE,0,IF(D11=-E11,0.98*D11,IF(AND(D11=-20,E11=100)=TRUE,0.98*D11,IF(AND(D11=-35,E11=300)=TRUE,0.98*D11,IF(AND(D11=-100,E11=160)=TRUE,80,IF(AND(D11=-100,E11=900)=TRUE,80,"x")))))))</f>
        <v/>
      </c>
      <c r="G11" s="90">
        <f>IF(AND(D11&lt;0,E11=0)=TRUE,0.75*D11,IF(AND(D11=0,E11&gt;0)=TRUE,0.25*E11,IF(D11=-E11,0.5*D11,IF(AND(D11=-20,E11=100)=TRUE,0,IF(AND(D11=-35,E11=300)=TRUE,0,IF(AND(D11=-100,E11=160)=TRUE,0,IF(AND(D11=-100,E11=900)=TRUE,0,"x")))))))</f>
        <v/>
      </c>
      <c r="H11" s="90">
        <f>IF(AND(D11&lt;0,E11=0)=TRUE,0.5*D11,IF(AND(D11=0,E11&gt;0)=TRUE,0.5*E11,IF(D11=-E11,0,IF(AND(D11=-20,E11=100)=TRUE,0.33*E11,IF(AND(D11=-35,E11=300)=TRUE,0.33*E11,IF(AND(D11=-100,E11=160)=TRUE,0.33*E11,IF(AND(D11=-100,E11=900)=TRUE,0.33*E11,"x")))))))</f>
        <v/>
      </c>
      <c r="I11" s="90">
        <f>IF(AND(D11&lt;0,E11=0)=TRUE,0.25*D11,IF(AND(D11=0,E11&gt;0)=TRUE,0.75*E11,IF(D11=-E11,0.5*E11,IF(AND(D11=-20,E11=100)=TRUE,0.66*E11,IF(AND(D11=-35,E11=300)=TRUE,0.66*E11,IF(AND(D11=-100,E11=160)=TRUE,0.66*E11,IF(AND(D11=-100,E11=900)=TRUE,0.66*E11,"x")))))))</f>
        <v/>
      </c>
      <c r="J11" s="91">
        <f>IF(AND(D11&lt;0,E11=0)=TRUE,0*D11,IF(AND(D11=0,E11&gt;0)=TRUE,0.98*E11,IF(D11=-E11,0.98*E11,IF(AND(D11=-20,E11=100)=TRUE,0.98*E11,IF(AND(D11=-35,E11=300)=TRUE,0.98*E11,IF(AND(D11=-100,E11=160)=TRUE,0.98*E11,IF(AND(D11=-100,E11=900)=TRUE,0.98*E11,"x")))))))</f>
        <v/>
      </c>
      <c r="K11" s="501" t="inlineStr">
        <is>
          <t>Fail</t>
        </is>
      </c>
      <c r="L11" s="502" t="inlineStr">
        <is>
          <t>-</t>
        </is>
      </c>
      <c r="M11" s="92">
        <f>F11</f>
        <v/>
      </c>
      <c r="N11" s="93">
        <f>G11</f>
        <v/>
      </c>
      <c r="O11" s="94">
        <f>H11</f>
        <v/>
      </c>
      <c r="P11" s="93">
        <f>I11</f>
        <v/>
      </c>
      <c r="Q11" s="95">
        <f>J11</f>
        <v/>
      </c>
      <c r="R11" s="503" t="inlineStr">
        <is>
          <t>kPa</t>
        </is>
      </c>
      <c r="S11" s="504">
        <f>IF(D11&lt;E11,(E11-D11)*0.002,"x")</f>
        <v/>
      </c>
      <c r="T11" s="503" t="n">
        <v>3369194</v>
      </c>
      <c r="U11" s="42" t="n"/>
    </row>
    <row r="12" ht="15" customFormat="1" customHeight="1" s="2" thickBot="1">
      <c r="A12" s="40" t="n"/>
      <c r="B12" s="505" t="n"/>
      <c r="C12" s="505" t="n"/>
      <c r="D12" s="505" t="n"/>
      <c r="E12" s="506" t="n"/>
      <c r="F12" s="480" t="n">
        <v>-19.65</v>
      </c>
      <c r="G12" s="481" t="n">
        <v>-15.02</v>
      </c>
      <c r="H12" s="481" t="n">
        <v>-10.02</v>
      </c>
      <c r="I12" s="481" t="n">
        <v>-5.02</v>
      </c>
      <c r="J12" s="482" t="n">
        <v>0</v>
      </c>
      <c r="K12" s="505" t="n"/>
      <c r="L12" s="505" t="n"/>
      <c r="M12" s="480" t="n">
        <v>-19.59</v>
      </c>
      <c r="N12" s="481" t="n">
        <v>-14.99</v>
      </c>
      <c r="O12" s="481" t="n">
        <v>-9.98</v>
      </c>
      <c r="P12" s="481" t="n">
        <v>-4.99</v>
      </c>
      <c r="Q12" s="482" t="n">
        <v>0</v>
      </c>
      <c r="R12" s="505" t="n"/>
      <c r="S12" s="507" t="n"/>
      <c r="T12" s="505" t="n"/>
      <c r="U12" s="42" t="n"/>
    </row>
    <row r="13" ht="15" customFormat="1" customHeight="1" s="2" thickBot="1">
      <c r="A13" s="45" t="n"/>
      <c r="B13" s="337" t="n">
        <v>3</v>
      </c>
      <c r="C13" s="337" t="inlineStr">
        <is>
          <t>PTX3</t>
        </is>
      </c>
      <c r="D13" s="337" t="n">
        <v>-20</v>
      </c>
      <c r="E13" s="500" t="n">
        <v>0</v>
      </c>
      <c r="F13" s="163">
        <f>IF(AND(D13&lt;0,E13=0)=TRUE,0.98*D13,IF(AND(D13=0,E13&gt;0)=TRUE,0,IF(D13=-E13,0.98*D13,IF(AND(D13=-20,E13=100)=TRUE,0.98*D13,IF(AND(D13=-35,E13=300)=TRUE,0.98*D13,IF(AND(D13=-100,E13=160)=TRUE,80,IF(AND(D13=-100,E13=900)=TRUE,80,"x")))))))</f>
        <v/>
      </c>
      <c r="G13" s="90">
        <f>IF(AND(D13&lt;0,E13=0)=TRUE,0.75*D13,IF(AND(D13=0,E13&gt;0)=TRUE,0.25*E13,IF(D13=-E13,0.5*D13,IF(AND(D13=-20,E13=100)=TRUE,0,IF(AND(D13=-35,E13=300)=TRUE,0,IF(AND(D13=-100,E13=160)=TRUE,0,IF(AND(D13=-100,E13=900)=TRUE,0,"x")))))))</f>
        <v/>
      </c>
      <c r="H13" s="90">
        <f>IF(AND(D13&lt;0,E13=0)=TRUE,0.5*D13,IF(AND(D13=0,E13&gt;0)=TRUE,0.5*E13,IF(D13=-E13,0,IF(AND(D13=-20,E13=100)=TRUE,0.33*E13,IF(AND(D13=-35,E13=300)=TRUE,0.33*E13,IF(AND(D13=-100,E13=160)=TRUE,0.33*E13,IF(AND(D13=-100,E13=900)=TRUE,0.33*E13,"x")))))))</f>
        <v/>
      </c>
      <c r="I13" s="90">
        <f>IF(AND(D13&lt;0,E13=0)=TRUE,0.25*D13,IF(AND(D13=0,E13&gt;0)=TRUE,0.75*E13,IF(D13=-E13,0.5*E13,IF(AND(D13=-20,E13=100)=TRUE,0.66*E13,IF(AND(D13=-35,E13=300)=TRUE,0.66*E13,IF(AND(D13=-100,E13=160)=TRUE,0.66*E13,IF(AND(D13=-100,E13=900)=TRUE,0.66*E13,"x")))))))</f>
        <v/>
      </c>
      <c r="J13" s="91">
        <f>IF(AND(D13&lt;0,E13=0)=TRUE,0*D13,IF(AND(D13=0,E13&gt;0)=TRUE,0.98*E13,IF(D13=-E13,0.98*E13,IF(AND(D13=-20,E13=100)=TRUE,0.98*E13,IF(AND(D13=-35,E13=300)=TRUE,0.98*E13,IF(AND(D13=-100,E13=160)=TRUE,0.98*E13,IF(AND(D13=-100,E13=900)=TRUE,0.98*E13,"x")))))))</f>
        <v/>
      </c>
      <c r="K13" s="501" t="inlineStr">
        <is>
          <t>Fail</t>
        </is>
      </c>
      <c r="L13" s="502" t="inlineStr">
        <is>
          <t>-</t>
        </is>
      </c>
      <c r="M13" s="92">
        <f>F13</f>
        <v/>
      </c>
      <c r="N13" s="93">
        <f>G13</f>
        <v/>
      </c>
      <c r="O13" s="94">
        <f>H13</f>
        <v/>
      </c>
      <c r="P13" s="93">
        <f>I13</f>
        <v/>
      </c>
      <c r="Q13" s="95">
        <f>J13</f>
        <v/>
      </c>
      <c r="R13" s="503" t="inlineStr">
        <is>
          <t>kPa</t>
        </is>
      </c>
      <c r="S13" s="504">
        <f>IF(D13&lt;E13,(E13-D13)*0.002,"x")</f>
        <v/>
      </c>
      <c r="T13" s="503" t="n">
        <v>3369201</v>
      </c>
      <c r="U13" s="42" t="n"/>
    </row>
    <row r="14" ht="15" customFormat="1" customHeight="1" s="2" thickBot="1">
      <c r="A14" s="45" t="n"/>
      <c r="B14" s="505" t="n"/>
      <c r="C14" s="505" t="n"/>
      <c r="D14" s="505" t="n"/>
      <c r="E14" s="506" t="n"/>
      <c r="F14" s="480" t="n">
        <v>-19.65</v>
      </c>
      <c r="G14" s="481" t="n">
        <v>-15.03</v>
      </c>
      <c r="H14" s="481" t="n">
        <v>-10.03</v>
      </c>
      <c r="I14" s="481" t="n">
        <v>-5.02</v>
      </c>
      <c r="J14" s="482" t="n">
        <v>0</v>
      </c>
      <c r="K14" s="505" t="n"/>
      <c r="L14" s="505" t="n"/>
      <c r="M14" s="480" t="n">
        <v>-19.59</v>
      </c>
      <c r="N14" s="481" t="n">
        <v>-14.99</v>
      </c>
      <c r="O14" s="481" t="n">
        <v>-9.99</v>
      </c>
      <c r="P14" s="481" t="n">
        <v>-4.99</v>
      </c>
      <c r="Q14" s="482" t="n">
        <v>0</v>
      </c>
      <c r="R14" s="505" t="n"/>
      <c r="S14" s="507" t="n"/>
      <c r="T14" s="505" t="n"/>
      <c r="U14" s="42" t="n"/>
    </row>
    <row r="15" ht="15" customFormat="1" customHeight="1" s="2" thickBot="1">
      <c r="A15" s="45" t="n"/>
      <c r="B15" s="337" t="n">
        <v>4</v>
      </c>
      <c r="C15" s="337" t="inlineStr">
        <is>
          <t>PTX4</t>
        </is>
      </c>
      <c r="D15" s="337" t="n">
        <v>-20</v>
      </c>
      <c r="E15" s="500" t="n">
        <v>0</v>
      </c>
      <c r="F15" s="163">
        <f>IF(AND(D15&lt;0,E15=0)=TRUE,0.98*D15,IF(AND(D15=0,E15&gt;0)=TRUE,0,IF(D15=-E15,0.98*D15,IF(AND(D15=-20,E15=100)=TRUE,0.98*D15,IF(AND(D15=-35,E15=300)=TRUE,0.98*D15,IF(AND(D15=-100,E15=160)=TRUE,80,IF(AND(D15=-100,E15=900)=TRUE,80,"x")))))))</f>
        <v/>
      </c>
      <c r="G15" s="90">
        <f>IF(AND(D15&lt;0,E15=0)=TRUE,0.75*D15,IF(AND(D15=0,E15&gt;0)=TRUE,0.25*E15,IF(D15=-E15,0.5*D15,IF(AND(D15=-20,E15=100)=TRUE,0,IF(AND(D15=-35,E15=300)=TRUE,0,IF(AND(D15=-100,E15=160)=TRUE,0,IF(AND(D15=-100,E15=900)=TRUE,0,"x")))))))</f>
        <v/>
      </c>
      <c r="H15" s="90">
        <f>IF(AND(D15&lt;0,E15=0)=TRUE,0.5*D15,IF(AND(D15=0,E15&gt;0)=TRUE,0.5*E15,IF(D15=-E15,0,IF(AND(D15=-20,E15=100)=TRUE,0.33*E15,IF(AND(D15=-35,E15=300)=TRUE,0.33*E15,IF(AND(D15=-100,E15=160)=TRUE,0.33*E15,IF(AND(D15=-100,E15=900)=TRUE,0.33*E15,"x")))))))</f>
        <v/>
      </c>
      <c r="I15" s="90">
        <f>IF(AND(D15&lt;0,E15=0)=TRUE,0.25*D15,IF(AND(D15=0,E15&gt;0)=TRUE,0.75*E15,IF(D15=-E15,0.5*E15,IF(AND(D15=-20,E15=100)=TRUE,0.66*E15,IF(AND(D15=-35,E15=300)=TRUE,0.66*E15,IF(AND(D15=-100,E15=160)=TRUE,0.66*E15,IF(AND(D15=-100,E15=900)=TRUE,0.66*E15,"x")))))))</f>
        <v/>
      </c>
      <c r="J15" s="91">
        <f>IF(AND(D15&lt;0,E15=0)=TRUE,0*D15,IF(AND(D15=0,E15&gt;0)=TRUE,0.98*E15,IF(D15=-E15,0.98*E15,IF(AND(D15=-20,E15=100)=TRUE,0.98*E15,IF(AND(D15=-35,E15=300)=TRUE,0.98*E15,IF(AND(D15=-100,E15=160)=TRUE,0.98*E15,IF(AND(D15=-100,E15=900)=TRUE,0.98*E15,"x")))))))</f>
        <v/>
      </c>
      <c r="K15" s="501" t="inlineStr">
        <is>
          <t>Pass</t>
        </is>
      </c>
      <c r="L15" s="502" t="inlineStr">
        <is>
          <t>-</t>
        </is>
      </c>
      <c r="M15" s="92">
        <f>F15</f>
        <v/>
      </c>
      <c r="N15" s="93">
        <f>G15</f>
        <v/>
      </c>
      <c r="O15" s="94">
        <f>H15</f>
        <v/>
      </c>
      <c r="P15" s="93">
        <f>I15</f>
        <v/>
      </c>
      <c r="Q15" s="95">
        <f>J15</f>
        <v/>
      </c>
      <c r="R15" s="503" t="inlineStr">
        <is>
          <t>kPa</t>
        </is>
      </c>
      <c r="S15" s="504">
        <f>IF(D15&lt;E15,(E15-D15)*0.002,"x")</f>
        <v/>
      </c>
      <c r="T15" s="503" t="n">
        <v>3379680</v>
      </c>
      <c r="U15" s="42" t="n"/>
    </row>
    <row r="16" ht="15" customFormat="1" customHeight="1" s="2" thickBot="1">
      <c r="A16" s="45" t="n"/>
      <c r="B16" s="505" t="n"/>
      <c r="C16" s="505" t="n"/>
      <c r="D16" s="505" t="n"/>
      <c r="E16" s="506" t="n"/>
      <c r="F16" s="480" t="n">
        <v>-19.6</v>
      </c>
      <c r="G16" s="481" t="n">
        <v>-15</v>
      </c>
      <c r="H16" s="481" t="n">
        <v>-9.99</v>
      </c>
      <c r="I16" s="481" t="n">
        <v>-5</v>
      </c>
      <c r="J16" s="482" t="n">
        <v>0</v>
      </c>
      <c r="K16" s="505" t="n"/>
      <c r="L16" s="505" t="n"/>
      <c r="M16" s="480" t="n"/>
      <c r="N16" s="481" t="n"/>
      <c r="O16" s="481" t="n"/>
      <c r="P16" s="481" t="n"/>
      <c r="Q16" s="482" t="n"/>
      <c r="R16" s="505" t="n"/>
      <c r="S16" s="507" t="n"/>
      <c r="T16" s="505" t="n"/>
      <c r="U16" s="42" t="n"/>
    </row>
    <row r="17" ht="15" customFormat="1" customHeight="1" s="2" thickBot="1">
      <c r="A17" s="45" t="n"/>
      <c r="B17" s="337" t="n">
        <v>5</v>
      </c>
      <c r="C17" s="337" t="inlineStr">
        <is>
          <t>PTX5</t>
        </is>
      </c>
      <c r="D17" s="337" t="n">
        <v>0</v>
      </c>
      <c r="E17" s="500" t="n">
        <v>600</v>
      </c>
      <c r="F17" s="163">
        <f>IF(AND(D17&lt;0,E17=0)=TRUE,0.98*D17,IF(AND(D17=0,E17&gt;0)=TRUE,0,IF(D17=-E17,0.98*D17,IF(AND(D17=-20,E17=100)=TRUE,0.98*D17,IF(AND(D17=-35,E17=300)=TRUE,0.98*D17,IF(AND(D17=-100,E17=160)=TRUE,80,IF(AND(D17=-100,E17=900)=TRUE,80,"x")))))))</f>
        <v/>
      </c>
      <c r="G17" s="90">
        <f>IF(AND(D17&lt;0,E17=0)=TRUE,0.75*D17,IF(AND(D17=0,E17&gt;0)=TRUE,0.25*E17,IF(D17=-E17,0.5*D17,IF(AND(D17=-20,E17=100)=TRUE,0,IF(AND(D17=-35,E17=300)=TRUE,0,IF(AND(D17=-100,E17=160)=TRUE,0,IF(AND(D17=-100,E17=900)=TRUE,0,"x")))))))</f>
        <v/>
      </c>
      <c r="H17" s="90">
        <f>IF(AND(D17&lt;0,E17=0)=TRUE,0.5*D17,IF(AND(D17=0,E17&gt;0)=TRUE,0.5*E17,IF(D17=-E17,0,IF(AND(D17=-20,E17=100)=TRUE,0.33*E17,IF(AND(D17=-35,E17=300)=TRUE,0.33*E17,IF(AND(D17=-100,E17=160)=TRUE,0.33*E17,IF(AND(D17=-100,E17=900)=TRUE,0.33*E17,"x")))))))</f>
        <v/>
      </c>
      <c r="I17" s="90">
        <f>IF(AND(D17&lt;0,E17=0)=TRUE,0.25*D17,IF(AND(D17=0,E17&gt;0)=TRUE,0.75*E17,IF(D17=-E17,0.5*E17,IF(AND(D17=-20,E17=100)=TRUE,0.66*E17,IF(AND(D17=-35,E17=300)=TRUE,0.66*E17,IF(AND(D17=-100,E17=160)=TRUE,0.66*E17,IF(AND(D17=-100,E17=900)=TRUE,0.66*E17,"x")))))))</f>
        <v/>
      </c>
      <c r="J17" s="91">
        <f>IF(AND(D17&lt;0,E17=0)=TRUE,0*D17,IF(AND(D17=0,E17&gt;0)=TRUE,0.98*E17,IF(D17=-E17,0.98*E17,IF(AND(D17=-20,E17=100)=TRUE,0.98*E17,IF(AND(D17=-35,E17=300)=TRUE,0.98*E17,IF(AND(D17=-100,E17=160)=TRUE,0.98*E17,IF(AND(D17=-100,E17=900)=TRUE,0.98*E17,"x")))))))</f>
        <v/>
      </c>
      <c r="K17" s="501" t="inlineStr">
        <is>
          <t>Pass</t>
        </is>
      </c>
      <c r="L17" s="502" t="inlineStr">
        <is>
          <t>-</t>
        </is>
      </c>
      <c r="M17" s="92">
        <f>F17</f>
        <v/>
      </c>
      <c r="N17" s="93">
        <f>G17</f>
        <v/>
      </c>
      <c r="O17" s="94">
        <f>H17</f>
        <v/>
      </c>
      <c r="P17" s="93">
        <f>I17</f>
        <v/>
      </c>
      <c r="Q17" s="95">
        <f>J17</f>
        <v/>
      </c>
      <c r="R17" s="503" t="inlineStr">
        <is>
          <t>kPa</t>
        </is>
      </c>
      <c r="S17" s="504">
        <f>IF(D17&lt;E17,(E17-D17)*0.002,"x")</f>
        <v/>
      </c>
      <c r="T17" s="503" t="n">
        <v>3352484</v>
      </c>
      <c r="U17" s="42" t="n"/>
    </row>
    <row r="18" ht="15" customFormat="1" customHeight="1" s="2" thickBot="1">
      <c r="A18" s="45" t="n"/>
      <c r="B18" s="505" t="n"/>
      <c r="C18" s="505" t="n"/>
      <c r="D18" s="505" t="n"/>
      <c r="E18" s="506" t="n"/>
      <c r="F18" s="480" t="n">
        <v>0</v>
      </c>
      <c r="G18" s="481" t="n">
        <v>149.81</v>
      </c>
      <c r="H18" s="481" t="n">
        <v>299.9</v>
      </c>
      <c r="I18" s="481" t="n">
        <v>449.9</v>
      </c>
      <c r="J18" s="482" t="n">
        <v>588</v>
      </c>
      <c r="K18" s="505" t="n"/>
      <c r="L18" s="505" t="n"/>
      <c r="M18" s="480" t="n"/>
      <c r="N18" s="481" t="n"/>
      <c r="O18" s="481" t="n"/>
      <c r="P18" s="481" t="n"/>
      <c r="Q18" s="482" t="n"/>
      <c r="R18" s="505" t="n"/>
      <c r="S18" s="507" t="n"/>
      <c r="T18" s="505" t="n"/>
      <c r="U18" s="42" t="n"/>
    </row>
    <row r="19" ht="15" customFormat="1" customHeight="1" s="2" thickBot="1">
      <c r="A19" s="45" t="n"/>
      <c r="B19" s="337" t="n">
        <v>6</v>
      </c>
      <c r="C19" s="337" t="inlineStr">
        <is>
          <t>PTX6</t>
        </is>
      </c>
      <c r="D19" s="337" t="n">
        <v>0</v>
      </c>
      <c r="E19" s="500" t="n">
        <v>600</v>
      </c>
      <c r="F19" s="163">
        <f>IF(AND(D19&lt;0,E19=0)=TRUE,0.98*D19,IF(AND(D19=0,E19&gt;0)=TRUE,0,IF(D19=-E19,0.98*D19,IF(AND(D19=-20,E19=100)=TRUE,0.98*D19,IF(AND(D19=-35,E19=300)=TRUE,0.98*D19,IF(AND(D19=-100,E19=160)=TRUE,80,IF(AND(D19=-100,E19=900)=TRUE,80,"x")))))))</f>
        <v/>
      </c>
      <c r="G19" s="90">
        <f>IF(AND(D19&lt;0,E19=0)=TRUE,0.75*D19,IF(AND(D19=0,E19&gt;0)=TRUE,0.25*E19,IF(D19=-E19,0.5*D19,IF(AND(D19=-20,E19=100)=TRUE,0,IF(AND(D19=-35,E19=300)=TRUE,0,IF(AND(D19=-100,E19=160)=TRUE,0,IF(AND(D19=-100,E19=900)=TRUE,0,"x")))))))</f>
        <v/>
      </c>
      <c r="H19" s="90">
        <f>IF(AND(D19&lt;0,E19=0)=TRUE,0.5*D19,IF(AND(D19=0,E19&gt;0)=TRUE,0.5*E19,IF(D19=-E19,0,IF(AND(D19=-20,E19=100)=TRUE,0.33*E19,IF(AND(D19=-35,E19=300)=TRUE,0.33*E19,IF(AND(D19=-100,E19=160)=TRUE,0.33*E19,IF(AND(D19=-100,E19=900)=TRUE,0.33*E19,"x")))))))</f>
        <v/>
      </c>
      <c r="I19" s="90">
        <f>IF(AND(D19&lt;0,E19=0)=TRUE,0.25*D19,IF(AND(D19=0,E19&gt;0)=TRUE,0.75*E19,IF(D19=-E19,0.5*E19,IF(AND(D19=-20,E19=100)=TRUE,0.66*E19,IF(AND(D19=-35,E19=300)=TRUE,0.66*E19,IF(AND(D19=-100,E19=160)=TRUE,0.66*E19,IF(AND(D19=-100,E19=900)=TRUE,0.66*E19,"x")))))))</f>
        <v/>
      </c>
      <c r="J19" s="91">
        <f>IF(AND(D19&lt;0,E19=0)=TRUE,0*D19,IF(AND(D19=0,E19&gt;0)=TRUE,0.98*E19,IF(D19=-E19,0.98*E19,IF(AND(D19=-20,E19=100)=TRUE,0.98*E19,IF(AND(D19=-35,E19=300)=TRUE,0.98*E19,IF(AND(D19=-100,E19=160)=TRUE,0.98*E19,IF(AND(D19=-100,E19=900)=TRUE,0.98*E19,"x")))))))</f>
        <v/>
      </c>
      <c r="K19" s="501" t="inlineStr">
        <is>
          <t>Pass</t>
        </is>
      </c>
      <c r="L19" s="502" t="inlineStr">
        <is>
          <t>-</t>
        </is>
      </c>
      <c r="M19" s="92">
        <f>F19</f>
        <v/>
      </c>
      <c r="N19" s="93">
        <f>G19</f>
        <v/>
      </c>
      <c r="O19" s="94">
        <f>H19</f>
        <v/>
      </c>
      <c r="P19" s="93">
        <f>I19</f>
        <v/>
      </c>
      <c r="Q19" s="95">
        <f>J19</f>
        <v/>
      </c>
      <c r="R19" s="503" t="inlineStr">
        <is>
          <t>kPa</t>
        </is>
      </c>
      <c r="S19" s="504">
        <f>IF(D19&lt;E19,(E19-D19)*0.002,"x")</f>
        <v/>
      </c>
      <c r="T19" s="503" t="n">
        <v>3349472</v>
      </c>
      <c r="U19" s="42" t="n"/>
    </row>
    <row r="20" ht="15" customFormat="1" customHeight="1" s="2" thickBot="1">
      <c r="A20" s="45" t="n"/>
      <c r="B20" s="505" t="n"/>
      <c r="C20" s="505" t="n"/>
      <c r="D20" s="505" t="n"/>
      <c r="E20" s="506" t="n"/>
      <c r="F20" s="480" t="n">
        <v>0</v>
      </c>
      <c r="G20" s="481" t="n">
        <v>150.11</v>
      </c>
      <c r="H20" s="481" t="n">
        <v>300.15</v>
      </c>
      <c r="I20" s="481" t="n">
        <v>450.07</v>
      </c>
      <c r="J20" s="482" t="n">
        <v>588.0700000000001</v>
      </c>
      <c r="K20" s="505" t="n"/>
      <c r="L20" s="505" t="n"/>
      <c r="M20" s="480" t="n"/>
      <c r="N20" s="481" t="n"/>
      <c r="O20" s="481" t="n"/>
      <c r="P20" s="481" t="n"/>
      <c r="Q20" s="482" t="n"/>
      <c r="R20" s="505" t="n"/>
      <c r="S20" s="507" t="n"/>
      <c r="T20" s="505" t="n"/>
      <c r="U20" s="42" t="n"/>
    </row>
    <row r="21" ht="15" customFormat="1" customHeight="1" s="2" thickBot="1">
      <c r="A21" s="45" t="n"/>
      <c r="B21" s="337" t="n">
        <v>7</v>
      </c>
      <c r="C21" s="337" t="inlineStr">
        <is>
          <t>PTX7</t>
        </is>
      </c>
      <c r="D21" s="337" t="n">
        <v>0</v>
      </c>
      <c r="E21" s="500" t="n">
        <v>600</v>
      </c>
      <c r="F21" s="163">
        <f>IF(AND(D21&lt;0,E21=0)=TRUE,0.98*D21,IF(AND(D21=0,E21&gt;0)=TRUE,0,IF(D21=-E21,0.98*D21,IF(AND(D21=-20,E21=100)=TRUE,0.98*D21,IF(AND(D21=-35,E21=300)=TRUE,0.98*D21,IF(AND(D21=-100,E21=160)=TRUE,80,IF(AND(D21=-100,E21=900)=TRUE,80,"x")))))))</f>
        <v/>
      </c>
      <c r="G21" s="90">
        <f>IF(AND(D21&lt;0,E21=0)=TRUE,0.75*D21,IF(AND(D21=0,E21&gt;0)=TRUE,0.25*E21,IF(D21=-E21,0.5*D21,IF(AND(D21=-20,E21=100)=TRUE,0,IF(AND(D21=-35,E21=300)=TRUE,0,IF(AND(D21=-100,E21=160)=TRUE,0,IF(AND(D21=-100,E21=900)=TRUE,0,"x")))))))</f>
        <v/>
      </c>
      <c r="H21" s="90">
        <f>IF(AND(D21&lt;0,E21=0)=TRUE,0.5*D21,IF(AND(D21=0,E21&gt;0)=TRUE,0.5*E21,IF(D21=-E21,0,IF(AND(D21=-20,E21=100)=TRUE,0.33*E21,IF(AND(D21=-35,E21=300)=TRUE,0.33*E21,IF(AND(D21=-100,E21=160)=TRUE,0.33*E21,IF(AND(D21=-100,E21=900)=TRUE,0.33*E21,"x")))))))</f>
        <v/>
      </c>
      <c r="I21" s="90">
        <f>IF(AND(D21&lt;0,E21=0)=TRUE,0.25*D21,IF(AND(D21=0,E21&gt;0)=TRUE,0.75*E21,IF(D21=-E21,0.5*E21,IF(AND(D21=-20,E21=100)=TRUE,0.66*E21,IF(AND(D21=-35,E21=300)=TRUE,0.66*E21,IF(AND(D21=-100,E21=160)=TRUE,0.66*E21,IF(AND(D21=-100,E21=900)=TRUE,0.66*E21,"x")))))))</f>
        <v/>
      </c>
      <c r="J21" s="91">
        <f>IF(AND(D21&lt;0,E21=0)=TRUE,0*D21,IF(AND(D21=0,E21&gt;0)=TRUE,0.98*E21,IF(D21=-E21,0.98*E21,IF(AND(D21=-20,E21=100)=TRUE,0.98*E21,IF(AND(D21=-35,E21=300)=TRUE,0.98*E21,IF(AND(D21=-100,E21=160)=TRUE,0.98*E21,IF(AND(D21=-100,E21=900)=TRUE,0.98*E21,"x")))))))</f>
        <v/>
      </c>
      <c r="K21" s="501" t="inlineStr">
        <is>
          <t>Pass</t>
        </is>
      </c>
      <c r="L21" s="502" t="inlineStr">
        <is>
          <t>-</t>
        </is>
      </c>
      <c r="M21" s="92">
        <f>F21</f>
        <v/>
      </c>
      <c r="N21" s="93">
        <f>G21</f>
        <v/>
      </c>
      <c r="O21" s="94">
        <f>H21</f>
        <v/>
      </c>
      <c r="P21" s="93">
        <f>I21</f>
        <v/>
      </c>
      <c r="Q21" s="95">
        <f>J21</f>
        <v/>
      </c>
      <c r="R21" s="503" t="inlineStr">
        <is>
          <t>kPa</t>
        </is>
      </c>
      <c r="S21" s="504">
        <f>IF(D21&lt;E21,(E21-D21)*0.002,"x")</f>
        <v/>
      </c>
      <c r="T21" s="503" t="n">
        <v>3352482</v>
      </c>
      <c r="U21" s="42" t="n"/>
    </row>
    <row r="22" ht="15" customFormat="1" customHeight="1" s="2" thickBot="1">
      <c r="A22" s="45" t="n"/>
      <c r="B22" s="505" t="n"/>
      <c r="C22" s="505" t="n"/>
      <c r="D22" s="505" t="n"/>
      <c r="E22" s="506" t="n"/>
      <c r="F22" s="480" t="n">
        <v>0</v>
      </c>
      <c r="G22" s="481" t="n">
        <v>150</v>
      </c>
      <c r="H22" s="481" t="n">
        <v>300.07</v>
      </c>
      <c r="I22" s="481" t="n">
        <v>450.07</v>
      </c>
      <c r="J22" s="482" t="n">
        <v>588.15</v>
      </c>
      <c r="K22" s="505" t="n"/>
      <c r="L22" s="505" t="n"/>
      <c r="M22" s="480" t="n"/>
      <c r="N22" s="481" t="n"/>
      <c r="O22" s="481" t="n"/>
      <c r="P22" s="481" t="n"/>
      <c r="Q22" s="482" t="n"/>
      <c r="R22" s="505" t="n"/>
      <c r="S22" s="507" t="n"/>
      <c r="T22" s="505" t="n"/>
      <c r="U22" s="42" t="n"/>
    </row>
    <row r="23" ht="15" customFormat="1" customHeight="1" s="2" thickBot="1">
      <c r="A23" s="45" t="n"/>
      <c r="B23" s="337" t="n">
        <v>8</v>
      </c>
      <c r="C23" s="337" t="inlineStr">
        <is>
          <t>PTX8</t>
        </is>
      </c>
      <c r="D23" s="337" t="n">
        <v>-35</v>
      </c>
      <c r="E23" s="500" t="n">
        <v>35</v>
      </c>
      <c r="F23" s="163">
        <f>IF(AND(D23&lt;0,E23=0)=TRUE,0.98*D23,IF(AND(D23=0,E23&gt;0)=TRUE,0,IF(D23=-E23,0.98*D23,IF(AND(D23=-20,E23=100)=TRUE,0.98*D23,IF(AND(D23=-35,E23=300)=TRUE,0.98*D23,IF(AND(D23=-100,E23=160)=TRUE,80,IF(AND(D23=-100,E23=900)=TRUE,80,"x")))))))</f>
        <v/>
      </c>
      <c r="G23" s="90">
        <f>IF(AND(D23&lt;0,E23=0)=TRUE,0.75*D23,IF(AND(D23=0,E23&gt;0)=TRUE,0.25*E23,IF(D23=-E23,0.5*D23,IF(AND(D23=-20,E23=100)=TRUE,0,IF(AND(D23=-35,E23=300)=TRUE,0,IF(AND(D23=-100,E23=160)=TRUE,0,IF(AND(D23=-100,E23=900)=TRUE,0,"x")))))))</f>
        <v/>
      </c>
      <c r="H23" s="90">
        <f>IF(AND(D23&lt;0,E23=0)=TRUE,0.5*D23,IF(AND(D23=0,E23&gt;0)=TRUE,0.5*E23,IF(D23=-E23,0,IF(AND(D23=-20,E23=100)=TRUE,0.33*E23,IF(AND(D23=-35,E23=300)=TRUE,0.33*E23,IF(AND(D23=-100,E23=160)=TRUE,0.33*E23,IF(AND(D23=-100,E23=900)=TRUE,0.33*E23,"x")))))))</f>
        <v/>
      </c>
      <c r="I23" s="90">
        <f>IF(AND(D23&lt;0,E23=0)=TRUE,0.25*D23,IF(AND(D23=0,E23&gt;0)=TRUE,0.75*E23,IF(D23=-E23,0.5*E23,IF(AND(D23=-20,E23=100)=TRUE,0.66*E23,IF(AND(D23=-35,E23=300)=TRUE,0.66*E23,IF(AND(D23=-100,E23=160)=TRUE,0.66*E23,IF(AND(D23=-100,E23=900)=TRUE,0.66*E23,"x")))))))</f>
        <v/>
      </c>
      <c r="J23" s="91">
        <f>IF(AND(D23&lt;0,E23=0)=TRUE,0*D23,IF(AND(D23=0,E23&gt;0)=TRUE,0.98*E23,IF(D23=-E23,0.98*E23,IF(AND(D23=-20,E23=100)=TRUE,0.98*E23,IF(AND(D23=-35,E23=300)=TRUE,0.98*E23,IF(AND(D23=-100,E23=160)=TRUE,0.98*E23,IF(AND(D23=-100,E23=900)=TRUE,0.98*E23,"x")))))))</f>
        <v/>
      </c>
      <c r="K23" s="501" t="inlineStr">
        <is>
          <t>Pass</t>
        </is>
      </c>
      <c r="L23" s="502" t="inlineStr">
        <is>
          <t>-</t>
        </is>
      </c>
      <c r="M23" s="92">
        <f>F23</f>
        <v/>
      </c>
      <c r="N23" s="93">
        <f>G23</f>
        <v/>
      </c>
      <c r="O23" s="94">
        <f>H23</f>
        <v/>
      </c>
      <c r="P23" s="93">
        <f>I23</f>
        <v/>
      </c>
      <c r="Q23" s="95">
        <f>J23</f>
        <v/>
      </c>
      <c r="R23" s="503" t="inlineStr">
        <is>
          <t>kPa</t>
        </is>
      </c>
      <c r="S23" s="504">
        <f>IF(D23&lt;E23,(E23-D23)*0.002,"x")</f>
        <v/>
      </c>
      <c r="T23" s="503" t="n">
        <v>3334108</v>
      </c>
      <c r="U23" s="42" t="n"/>
    </row>
    <row r="24" ht="15" customFormat="1" customHeight="1" s="2" thickBot="1">
      <c r="A24" s="45" t="n"/>
      <c r="B24" s="505" t="n"/>
      <c r="C24" s="505" t="n"/>
      <c r="D24" s="505" t="n"/>
      <c r="E24" s="506" t="n"/>
      <c r="F24" s="480" t="n">
        <v>-34.32</v>
      </c>
      <c r="G24" s="481" t="n">
        <v>-17.49</v>
      </c>
      <c r="H24" s="481" t="n">
        <v>0.02</v>
      </c>
      <c r="I24" s="481" t="n">
        <v>17.51</v>
      </c>
      <c r="J24" s="482" t="n">
        <v>34.3</v>
      </c>
      <c r="K24" s="505" t="n"/>
      <c r="L24" s="505" t="n"/>
      <c r="M24" s="480" t="n"/>
      <c r="N24" s="481" t="n"/>
      <c r="O24" s="481" t="n"/>
      <c r="P24" s="481" t="n"/>
      <c r="Q24" s="482" t="n"/>
      <c r="R24" s="505" t="n"/>
      <c r="S24" s="507" t="n"/>
      <c r="T24" s="505" t="n"/>
      <c r="U24" s="42" t="n"/>
    </row>
    <row r="25" ht="15" customFormat="1" customHeight="1" s="2" thickBot="1">
      <c r="A25" s="45" t="n"/>
      <c r="B25" s="337" t="n">
        <v>9</v>
      </c>
      <c r="C25" s="337" t="inlineStr">
        <is>
          <t>PTX9</t>
        </is>
      </c>
      <c r="D25" s="337" t="n">
        <v>-35</v>
      </c>
      <c r="E25" s="500" t="n">
        <v>300</v>
      </c>
      <c r="F25" s="163">
        <f>IF(AND(D25&lt;0,E25=0)=TRUE,0.98*D25,IF(AND(D25=0,E25&gt;0)=TRUE,0,IF(D25=-E25,0.98*D25,IF(AND(D25=-20,E25=100)=TRUE,0.98*D25,IF(AND(D25=-35,E25=300)=TRUE,0.98*D25,IF(AND(D25=-100,E25=160)=TRUE,80,IF(AND(D25=-100,E25=900)=TRUE,80,"x")))))))</f>
        <v/>
      </c>
      <c r="G25" s="90">
        <f>IF(AND(D25&lt;0,E25=0)=TRUE,0.75*D25,IF(AND(D25=0,E25&gt;0)=TRUE,0.25*E25,IF(D25=-E25,0.5*D25,IF(AND(D25=-20,E25=100)=TRUE,0,IF(AND(D25=-35,E25=300)=TRUE,0,IF(AND(D25=-100,E25=160)=TRUE,0,IF(AND(D25=-100,E25=900)=TRUE,0,"x")))))))</f>
        <v/>
      </c>
      <c r="H25" s="90">
        <f>IF(AND(D25&lt;0,E25=0)=TRUE,0.5*D25,IF(AND(D25=0,E25&gt;0)=TRUE,0.5*E25,IF(D25=-E25,0,IF(AND(D25=-20,E25=100)=TRUE,0.33*E25,IF(AND(D25=-35,E25=300)=TRUE,0.33*E25,IF(AND(D25=-100,E25=160)=TRUE,0.33*E25,IF(AND(D25=-100,E25=900)=TRUE,0.33*E25,"x")))))))</f>
        <v/>
      </c>
      <c r="I25" s="90">
        <f>IF(AND(D25&lt;0,E25=0)=TRUE,0.25*D25,IF(AND(D25=0,E25&gt;0)=TRUE,0.75*E25,IF(D25=-E25,0.5*E25,IF(AND(D25=-20,E25=100)=TRUE,0.66*E25,IF(AND(D25=-35,E25=300)=TRUE,0.66*E25,IF(AND(D25=-100,E25=160)=TRUE,0.66*E25,IF(AND(D25=-100,E25=900)=TRUE,0.66*E25,"x")))))))</f>
        <v/>
      </c>
      <c r="J25" s="91">
        <f>IF(AND(D25&lt;0,E25=0)=TRUE,0*D25,IF(AND(D25=0,E25&gt;0)=TRUE,0.98*E25,IF(D25=-E25,0.98*E25,IF(AND(D25=-20,E25=100)=TRUE,0.98*E25,IF(AND(D25=-35,E25=300)=TRUE,0.98*E25,IF(AND(D25=-100,E25=160)=TRUE,0.98*E25,IF(AND(D25=-100,E25=900)=TRUE,0.98*E25,"x")))))))</f>
        <v/>
      </c>
      <c r="K25" s="501" t="inlineStr">
        <is>
          <t>Fail</t>
        </is>
      </c>
      <c r="L25" s="502" t="inlineStr">
        <is>
          <t>-</t>
        </is>
      </c>
      <c r="M25" s="92">
        <f>F25</f>
        <v/>
      </c>
      <c r="N25" s="93">
        <f>G25</f>
        <v/>
      </c>
      <c r="O25" s="94">
        <f>H25</f>
        <v/>
      </c>
      <c r="P25" s="93">
        <f>I25</f>
        <v/>
      </c>
      <c r="Q25" s="95">
        <f>J25</f>
        <v/>
      </c>
      <c r="R25" s="503" t="inlineStr">
        <is>
          <t>kPa</t>
        </is>
      </c>
      <c r="S25" s="504">
        <f>IF(D25&lt;E25,(E25-D25)*0.002,"x")</f>
        <v/>
      </c>
      <c r="T25" s="503" t="n">
        <v>3355614</v>
      </c>
      <c r="U25" s="42" t="n"/>
    </row>
    <row r="26" ht="15" customFormat="1" customHeight="1" s="2" thickBot="1">
      <c r="A26" s="45" t="n"/>
      <c r="B26" s="505" t="n"/>
      <c r="C26" s="505" t="n"/>
      <c r="D26" s="505" t="n"/>
      <c r="E26" s="506" t="n"/>
      <c r="F26" s="480" t="n">
        <v>-33.72</v>
      </c>
      <c r="G26" s="481" t="n">
        <v>0.5</v>
      </c>
      <c r="H26" s="481" t="n">
        <v>99.45</v>
      </c>
      <c r="I26" s="481" t="n">
        <v>198.36</v>
      </c>
      <c r="J26" s="482" t="n">
        <v>348</v>
      </c>
      <c r="K26" s="505" t="n"/>
      <c r="L26" s="505" t="n"/>
      <c r="M26" s="480" t="n">
        <v>-34.32</v>
      </c>
      <c r="N26" s="480" t="n">
        <v>0</v>
      </c>
      <c r="O26" s="480" t="n">
        <v>99</v>
      </c>
      <c r="P26" s="480" t="n">
        <v>197.93</v>
      </c>
      <c r="Q26" s="480" t="n">
        <v>294</v>
      </c>
      <c r="R26" s="505" t="n"/>
      <c r="S26" s="507" t="n"/>
      <c r="T26" s="505" t="n"/>
      <c r="U26" s="42" t="n"/>
    </row>
    <row r="27" ht="15" customFormat="1" customHeight="1" s="2" thickBot="1">
      <c r="A27" s="45" t="n"/>
      <c r="B27" s="337" t="n">
        <v>10</v>
      </c>
      <c r="C27" s="337" t="inlineStr">
        <is>
          <t>PTX10</t>
        </is>
      </c>
      <c r="D27" s="337" t="n">
        <v>-100</v>
      </c>
      <c r="E27" s="500" t="n">
        <v>160</v>
      </c>
      <c r="F27" s="163" t="n">
        <v>-80</v>
      </c>
      <c r="G27" s="90">
        <f>IF(AND(D27&lt;0,E27=0)=TRUE,0.75*D27,IF(AND(D27=0,E27&gt;0)=TRUE,0.25*E27,IF(D27=-E27,0.5*D27,IF(AND(D27=-20,E27=100)=TRUE,0,IF(AND(D27=-35,E27=300)=TRUE,0,IF(AND(D27=-100,E27=160)=TRUE,0,IF(AND(D27=-100,E27=900)=TRUE,0,"x")))))))</f>
        <v/>
      </c>
      <c r="H27" s="90">
        <f>IF(AND(D27&lt;0,E27=0)=TRUE,0.5*D27,IF(AND(D27=0,E27&gt;0)=TRUE,0.5*E27,IF(D27=-E27,0,IF(AND(D27=-20,E27=100)=TRUE,0.33*E27,IF(AND(D27=-35,E27=300)=TRUE,0.33*E27,IF(AND(D27=-100,E27=160)=TRUE,0.33*E27,IF(AND(D27=-100,E27=900)=TRUE,0.33*E27,"x")))))))</f>
        <v/>
      </c>
      <c r="I27" s="90">
        <f>IF(AND(D27&lt;0,E27=0)=TRUE,0.25*D27,IF(AND(D27=0,E27&gt;0)=TRUE,0.75*E27,IF(D27=-E27,0.5*E27,IF(AND(D27=-20,E27=100)=TRUE,0.66*E27,IF(AND(D27=-35,E27=300)=TRUE,0.66*E27,IF(AND(D27=-100,E27=160)=TRUE,0.66*E27,IF(AND(D27=-100,E27=900)=TRUE,0.66*E27,"x")))))))</f>
        <v/>
      </c>
      <c r="J27" s="91">
        <f>IF(AND(D27&lt;0,E27=0)=TRUE,0*D27,IF(AND(D27=0,E27&gt;0)=TRUE,0.98*E27,IF(D27=-E27,0.98*E27,IF(AND(D27=-20,E27=100)=TRUE,0.98*E27,IF(AND(D27=-35,E27=300)=TRUE,0.98*E27,IF(AND(D27=-100,E27=160)=TRUE,0.98*E27,IF(AND(D27=-100,E27=900)=TRUE,0.98*E27,"x")))))))</f>
        <v/>
      </c>
      <c r="K27" s="501" t="inlineStr">
        <is>
          <t>Pass</t>
        </is>
      </c>
      <c r="L27" s="502" t="inlineStr">
        <is>
          <t>-</t>
        </is>
      </c>
      <c r="M27" s="92">
        <f>F27</f>
        <v/>
      </c>
      <c r="N27" s="93">
        <f>G27</f>
        <v/>
      </c>
      <c r="O27" s="94">
        <f>H27</f>
        <v/>
      </c>
      <c r="P27" s="93">
        <f>I27</f>
        <v/>
      </c>
      <c r="Q27" s="95">
        <f>J27</f>
        <v/>
      </c>
      <c r="R27" s="503" t="inlineStr">
        <is>
          <t>kPa</t>
        </is>
      </c>
      <c r="S27" s="504">
        <f>IF(D27&lt;E27,(E27-D27)*0.002,"x")</f>
        <v/>
      </c>
      <c r="T27" s="503" t="n">
        <v>5614940</v>
      </c>
      <c r="U27" s="42" t="n"/>
    </row>
    <row r="28" ht="15" customFormat="1" customHeight="1" s="2" thickBot="1">
      <c r="A28" s="45" t="n"/>
      <c r="B28" s="505" t="n"/>
      <c r="C28" s="505" t="n"/>
      <c r="D28" s="505" t="n"/>
      <c r="E28" s="506" t="n"/>
      <c r="F28" s="480" t="n">
        <v>-80.31</v>
      </c>
      <c r="G28" s="481" t="n">
        <v>-0.01</v>
      </c>
      <c r="H28" s="481" t="n">
        <v>52.86</v>
      </c>
      <c r="I28" s="481" t="n">
        <v>105.68</v>
      </c>
      <c r="J28" s="482" t="n">
        <v>156.81</v>
      </c>
      <c r="K28" s="505" t="n"/>
      <c r="L28" s="505" t="n"/>
      <c r="M28" s="480" t="n"/>
      <c r="N28" s="481" t="n"/>
      <c r="O28" s="481" t="n"/>
      <c r="P28" s="481" t="n"/>
      <c r="Q28" s="482" t="n"/>
      <c r="R28" s="505" t="n"/>
      <c r="S28" s="507" t="n"/>
      <c r="T28" s="505" t="n"/>
      <c r="U28" s="42" t="n"/>
    </row>
    <row r="29" ht="15" customFormat="1" customHeight="1" s="2" thickBot="1">
      <c r="A29" s="45" t="n"/>
      <c r="B29" s="337" t="n">
        <v>11</v>
      </c>
      <c r="C29" s="337" t="inlineStr">
        <is>
          <t>PTX11</t>
        </is>
      </c>
      <c r="D29" s="337" t="n">
        <v>0</v>
      </c>
      <c r="E29" s="500" t="n">
        <v>1000</v>
      </c>
      <c r="F29" s="163">
        <f>IF(AND(D29&lt;0,E29=0)=TRUE,0.98*D29,IF(AND(D29=0,E29&gt;0)=TRUE,0,IF(D29=-E29,0.98*D29,IF(AND(D29=-20,E29=100)=TRUE,0.98*D29,IF(AND(D29=-35,E29=300)=TRUE,0.98*D29,IF(AND(D29=-100,E29=160)=TRUE,80,IF(AND(D29=-100,E29=900)=TRUE,80,"x")))))))</f>
        <v/>
      </c>
      <c r="G29" s="90">
        <f>IF(AND(D29&lt;0,E29=0)=TRUE,0.75*D29,IF(AND(D29=0,E29&gt;0)=TRUE,0.25*E29,IF(D29=-E29,0.5*D29,IF(AND(D29=-20,E29=100)=TRUE,0,IF(AND(D29=-35,E29=300)=TRUE,0,IF(AND(D29=-100,E29=160)=TRUE,0,IF(AND(D29=-100,E29=900)=TRUE,0,"x")))))))</f>
        <v/>
      </c>
      <c r="H29" s="90">
        <f>IF(AND(D29&lt;0,E29=0)=TRUE,0.5*D29,IF(AND(D29=0,E29&gt;0)=TRUE,0.5*E29,IF(D29=-E29,0,IF(AND(D29=-20,E29=100)=TRUE,0.33*E29,IF(AND(D29=-35,E29=300)=TRUE,0.33*E29,IF(AND(D29=-100,E29=160)=TRUE,0.33*E29,IF(AND(D29=-100,E29=900)=TRUE,0.33*E29,"x")))))))</f>
        <v/>
      </c>
      <c r="I29" s="90">
        <f>IF(AND(D29&lt;0,E29=0)=TRUE,0.25*D29,IF(AND(D29=0,E29&gt;0)=TRUE,0.75*E29,IF(D29=-E29,0.5*E29,IF(AND(D29=-20,E29=100)=TRUE,0.66*E29,IF(AND(D29=-35,E29=300)=TRUE,0.66*E29,IF(AND(D29=-100,E29=160)=TRUE,0.66*E29,IF(AND(D29=-100,E29=900)=TRUE,0.66*E29,"x")))))))</f>
        <v/>
      </c>
      <c r="J29" s="91">
        <f>IF(AND(D29&lt;0,E29=0)=TRUE,0*D29,IF(AND(D29=0,E29&gt;0)=TRUE,0.98*E29,IF(D29=-E29,0.98*E29,IF(AND(D29=-20,E29=100)=TRUE,0.98*E29,IF(AND(D29=-35,E29=300)=TRUE,0.98*E29,IF(AND(D29=-100,E29=160)=TRUE,0.98*E29,IF(AND(D29=-100,E29=900)=TRUE,0.98*E29,"x")))))))</f>
        <v/>
      </c>
      <c r="K29" s="501" t="inlineStr">
        <is>
          <t>Pass</t>
        </is>
      </c>
      <c r="L29" s="502" t="inlineStr">
        <is>
          <t>-</t>
        </is>
      </c>
      <c r="M29" s="92">
        <f>F29</f>
        <v/>
      </c>
      <c r="N29" s="93">
        <f>G29</f>
        <v/>
      </c>
      <c r="O29" s="94">
        <f>H29</f>
        <v/>
      </c>
      <c r="P29" s="93">
        <f>I29</f>
        <v/>
      </c>
      <c r="Q29" s="95">
        <f>J29</f>
        <v/>
      </c>
      <c r="R29" s="503" t="inlineStr">
        <is>
          <t>kPa</t>
        </is>
      </c>
      <c r="S29" s="504">
        <f>IF(D29&lt;E29,(E29-D29)*0.002,"x")</f>
        <v/>
      </c>
      <c r="T29" s="503" t="n">
        <v>3114385</v>
      </c>
      <c r="U29" s="42" t="n"/>
    </row>
    <row r="30" ht="15" customFormat="1" customHeight="1" s="2" thickBot="1">
      <c r="A30" s="45" t="n"/>
      <c r="B30" s="505" t="n"/>
      <c r="C30" s="505" t="n"/>
      <c r="D30" s="505" t="n"/>
      <c r="E30" s="506" t="n"/>
      <c r="F30" s="480" t="n">
        <v>0</v>
      </c>
      <c r="G30" s="481" t="n">
        <v>250.06</v>
      </c>
      <c r="H30" s="481" t="n">
        <v>500.06</v>
      </c>
      <c r="I30" s="481" t="n">
        <v>750.1</v>
      </c>
      <c r="J30" s="482" t="n">
        <v>979.9</v>
      </c>
      <c r="K30" s="505" t="n"/>
      <c r="L30" s="505" t="n"/>
      <c r="M30" s="480" t="n"/>
      <c r="N30" s="481" t="n"/>
      <c r="O30" s="481" t="n"/>
      <c r="P30" s="481" t="n"/>
      <c r="Q30" s="482" t="n"/>
      <c r="R30" s="505" t="n"/>
      <c r="S30" s="507" t="n"/>
      <c r="T30" s="505" t="n"/>
      <c r="U30" s="42" t="n"/>
    </row>
    <row r="31" ht="15" customFormat="1" customHeight="1" s="2" thickBot="1">
      <c r="A31" s="45" t="n"/>
      <c r="B31" s="337" t="n">
        <v>12</v>
      </c>
      <c r="C31" s="337" t="inlineStr">
        <is>
          <t>PTX12</t>
        </is>
      </c>
      <c r="D31" s="337" t="n">
        <v>0</v>
      </c>
      <c r="E31" s="500" t="n">
        <v>1000</v>
      </c>
      <c r="F31" s="163">
        <f>IF(AND(D31&lt;0,E31=0)=TRUE,0.98*D31,IF(AND(D31=0,E31&gt;0)=TRUE,0,IF(D31=-E31,0.98*D31,IF(AND(D31=-20,E31=100)=TRUE,0.98*D31,IF(AND(D31=-35,E31=300)=TRUE,0.98*D31,IF(AND(D31=-100,E31=160)=TRUE,80,IF(AND(D31=-100,E31=900)=TRUE,80,"x")))))))</f>
        <v/>
      </c>
      <c r="G31" s="90">
        <f>IF(AND(D31&lt;0,E31=0)=TRUE,0.75*D31,IF(AND(D31=0,E31&gt;0)=TRUE,0.25*E31,IF(D31=-E31,0.5*D31,IF(AND(D31=-20,E31=100)=TRUE,0,IF(AND(D31=-35,E31=300)=TRUE,0,IF(AND(D31=-100,E31=160)=TRUE,0,IF(AND(D31=-100,E31=900)=TRUE,0,"x")))))))</f>
        <v/>
      </c>
      <c r="H31" s="90">
        <f>IF(AND(D31&lt;0,E31=0)=TRUE,0.5*D31,IF(AND(D31=0,E31&gt;0)=TRUE,0.5*E31,IF(D31=-E31,0,IF(AND(D31=-20,E31=100)=TRUE,0.33*E31,IF(AND(D31=-35,E31=300)=TRUE,0.33*E31,IF(AND(D31=-100,E31=160)=TRUE,0.33*E31,IF(AND(D31=-100,E31=900)=TRUE,0.33*E31,"x")))))))</f>
        <v/>
      </c>
      <c r="I31" s="90">
        <f>IF(AND(D31&lt;0,E31=0)=TRUE,0.25*D31,IF(AND(D31=0,E31&gt;0)=TRUE,0.75*E31,IF(D31=-E31,0.5*E31,IF(AND(D31=-20,E31=100)=TRUE,0.66*E31,IF(AND(D31=-35,E31=300)=TRUE,0.66*E31,IF(AND(D31=-100,E31=160)=TRUE,0.66*E31,IF(AND(D31=-100,E31=900)=TRUE,0.66*E31,"x")))))))</f>
        <v/>
      </c>
      <c r="J31" s="91">
        <f>IF(AND(D31&lt;0,E31=0)=TRUE,0*D31,IF(AND(D31=0,E31&gt;0)=TRUE,0.98*E31,IF(D31=-E31,0.98*E31,IF(AND(D31=-20,E31=100)=TRUE,0.98*E31,IF(AND(D31=-35,E31=300)=TRUE,0.98*E31,IF(AND(D31=-100,E31=160)=TRUE,0.98*E31,IF(AND(D31=-100,E31=900)=TRUE,0.98*E31,"x")))))))</f>
        <v/>
      </c>
      <c r="K31" s="501" t="inlineStr">
        <is>
          <t>Pass</t>
        </is>
      </c>
      <c r="L31" s="502" t="inlineStr">
        <is>
          <t>-</t>
        </is>
      </c>
      <c r="M31" s="92">
        <f>F31</f>
        <v/>
      </c>
      <c r="N31" s="93">
        <f>G31</f>
        <v/>
      </c>
      <c r="O31" s="94">
        <f>H31</f>
        <v/>
      </c>
      <c r="P31" s="93">
        <f>I31</f>
        <v/>
      </c>
      <c r="Q31" s="95">
        <f>J31</f>
        <v/>
      </c>
      <c r="R31" s="503" t="inlineStr">
        <is>
          <t>kPa</t>
        </is>
      </c>
      <c r="S31" s="504">
        <f>IF(D31&lt;E31,(E31-D31)*0.002,"x")</f>
        <v/>
      </c>
      <c r="T31" s="503" t="n">
        <v>5265200</v>
      </c>
      <c r="U31" s="42" t="n"/>
    </row>
    <row r="32" ht="15" customFormat="1" customHeight="1" s="2" thickBot="1">
      <c r="A32" s="45" t="n"/>
      <c r="B32" s="505" t="n"/>
      <c r="C32" s="505" t="n"/>
      <c r="D32" s="505" t="n"/>
      <c r="E32" s="506" t="n"/>
      <c r="F32" s="480" t="n">
        <v>0</v>
      </c>
      <c r="G32" s="481" t="n">
        <v>250.12</v>
      </c>
      <c r="H32" s="481" t="n">
        <v>500</v>
      </c>
      <c r="I32" s="481" t="n">
        <v>749.9299999999999</v>
      </c>
      <c r="J32" s="482" t="n">
        <v>980.12</v>
      </c>
      <c r="K32" s="505" t="n"/>
      <c r="L32" s="505" t="n"/>
      <c r="M32" s="480" t="n"/>
      <c r="N32" s="481" t="n"/>
      <c r="O32" s="481" t="n"/>
      <c r="P32" s="481" t="n"/>
      <c r="Q32" s="482" t="n"/>
      <c r="R32" s="505" t="n"/>
      <c r="S32" s="507" t="n"/>
      <c r="T32" s="505" t="n"/>
      <c r="U32" s="42" t="n"/>
    </row>
    <row r="33" ht="15" customFormat="1" customHeight="1" s="2" thickBot="1">
      <c r="A33" s="45" t="n"/>
      <c r="B33" s="337" t="n">
        <v>13</v>
      </c>
      <c r="C33" s="337" t="inlineStr">
        <is>
          <t>PTX13</t>
        </is>
      </c>
      <c r="D33" s="337" t="n">
        <v>0</v>
      </c>
      <c r="E33" s="500" t="n">
        <v>600</v>
      </c>
      <c r="F33" s="163">
        <f>IF(AND(D33&lt;0,E33=0)=TRUE,0.98*D33,IF(AND(D33=0,E33&gt;0)=TRUE,0,IF(D33=-E33,0.98*D33,IF(AND(D33=-20,E33=100)=TRUE,0.98*D33,IF(AND(D33=-35,E33=300)=TRUE,0.98*D33,IF(AND(D33=-100,E33=160)=TRUE,80,IF(AND(D33=-100,E33=900)=TRUE,80,"x")))))))</f>
        <v/>
      </c>
      <c r="G33" s="90">
        <f>IF(AND(D33&lt;0,E33=0)=TRUE,0.75*D33,IF(AND(D33=0,E33&gt;0)=TRUE,0.25*E33,IF(D33=-E33,0.5*D33,IF(AND(D33=-20,E33=100)=TRUE,0,IF(AND(D33=-35,E33=300)=TRUE,0,IF(AND(D33=-100,E33=160)=TRUE,0,IF(AND(D33=-100,E33=900)=TRUE,0,"x")))))))</f>
        <v/>
      </c>
      <c r="H33" s="90">
        <f>IF(AND(D33&lt;0,E33=0)=TRUE,0.5*D33,IF(AND(D33=0,E33&gt;0)=TRUE,0.5*E33,IF(D33=-E33,0,IF(AND(D33=-20,E33=100)=TRUE,0.33*E33,IF(AND(D33=-35,E33=300)=TRUE,0.33*E33,IF(AND(D33=-100,E33=160)=TRUE,0.33*E33,IF(AND(D33=-100,E33=900)=TRUE,0.33*E33,"x")))))))</f>
        <v/>
      </c>
      <c r="I33" s="90">
        <f>IF(AND(D33&lt;0,E33=0)=TRUE,0.25*D33,IF(AND(D33=0,E33&gt;0)=TRUE,0.75*E33,IF(D33=-E33,0.5*E33,IF(AND(D33=-20,E33=100)=TRUE,0.66*E33,IF(AND(D33=-35,E33=300)=TRUE,0.66*E33,IF(AND(D33=-100,E33=160)=TRUE,0.66*E33,IF(AND(D33=-100,E33=900)=TRUE,0.66*E33,"x")))))))</f>
        <v/>
      </c>
      <c r="J33" s="91">
        <f>IF(AND(D33&lt;0,E33=0)=TRUE,0*D33,IF(AND(D33=0,E33&gt;0)=TRUE,0.98*E33,IF(D33=-E33,0.98*E33,IF(AND(D33=-20,E33=100)=TRUE,0.98*E33,IF(AND(D33=-35,E33=300)=TRUE,0.98*E33,IF(AND(D33=-100,E33=160)=TRUE,0.98*E33,IF(AND(D33=-100,E33=900)=TRUE,0.98*E33,"x")))))))</f>
        <v/>
      </c>
      <c r="K33" s="501" t="inlineStr">
        <is>
          <t>Fail</t>
        </is>
      </c>
      <c r="L33" s="502" t="inlineStr">
        <is>
          <t>-</t>
        </is>
      </c>
      <c r="M33" s="92">
        <f>F33</f>
        <v/>
      </c>
      <c r="N33" s="93">
        <f>G33</f>
        <v/>
      </c>
      <c r="O33" s="94">
        <f>H33</f>
        <v/>
      </c>
      <c r="P33" s="93">
        <f>I33</f>
        <v/>
      </c>
      <c r="Q33" s="95">
        <f>J33</f>
        <v/>
      </c>
      <c r="R33" s="503" t="inlineStr">
        <is>
          <t>kPa</t>
        </is>
      </c>
      <c r="S33" s="504">
        <f>IF(D33&lt;E33,(E33-D33)*0.002,"x")</f>
        <v/>
      </c>
      <c r="T33" s="503" t="n">
        <v>3354500</v>
      </c>
      <c r="U33" s="42" t="n"/>
    </row>
    <row r="34" ht="15" customFormat="1" customHeight="1" s="2" thickBot="1">
      <c r="A34" s="45" t="n"/>
      <c r="B34" s="505" t="n"/>
      <c r="C34" s="505" t="n"/>
      <c r="D34" s="505" t="n"/>
      <c r="E34" s="506" t="n"/>
      <c r="F34" s="480" t="n">
        <v>0</v>
      </c>
      <c r="G34" s="481" t="n">
        <v>145.83</v>
      </c>
      <c r="H34" s="481" t="n">
        <v>296.89</v>
      </c>
      <c r="I34" s="481" t="n">
        <v>446.88</v>
      </c>
      <c r="J34" s="482" t="n">
        <v>584.86</v>
      </c>
      <c r="K34" s="505" t="n"/>
      <c r="L34" s="505" t="n"/>
      <c r="M34" s="480" t="n">
        <v>0</v>
      </c>
      <c r="N34" s="481" t="n">
        <v>150</v>
      </c>
      <c r="O34" s="481" t="n">
        <v>299.96</v>
      </c>
      <c r="P34" s="481" t="n">
        <v>450</v>
      </c>
      <c r="Q34" s="482" t="n">
        <v>587.92</v>
      </c>
      <c r="R34" s="505" t="n"/>
      <c r="S34" s="507" t="n"/>
      <c r="T34" s="505" t="n"/>
      <c r="U34" s="42" t="n"/>
    </row>
    <row r="35" ht="15" customFormat="1" customHeight="1" s="2" thickBot="1">
      <c r="A35" s="45" t="n"/>
      <c r="B35" s="337" t="n">
        <v>14</v>
      </c>
      <c r="C35" s="337" t="inlineStr">
        <is>
          <t>PTX14</t>
        </is>
      </c>
      <c r="D35" s="337" t="n">
        <v>0</v>
      </c>
      <c r="E35" s="500" t="n">
        <v>600</v>
      </c>
      <c r="F35" s="163">
        <f>IF(AND(D35&lt;0,E35=0)=TRUE,0.98*D35,IF(AND(D35=0,E35&gt;0)=TRUE,0,IF(D35=-E35,0.98*D35,IF(AND(D35=-20,E35=100)=TRUE,0.98*D35,IF(AND(D35=-35,E35=300)=TRUE,0.98*D35,IF(AND(D35=-100,E35=160)=TRUE,80,IF(AND(D35=-100,E35=900)=TRUE,80,"x")))))))</f>
        <v/>
      </c>
      <c r="G35" s="90">
        <f>IF(AND(D35&lt;0,E35=0)=TRUE,0.75*D35,IF(AND(D35=0,E35&gt;0)=TRUE,0.25*E35,IF(D35=-E35,0.5*D35,IF(AND(D35=-20,E35=100)=TRUE,0,IF(AND(D35=-35,E35=300)=TRUE,0,IF(AND(D35=-100,E35=160)=TRUE,0,IF(AND(D35=-100,E35=900)=TRUE,0,"x")))))))</f>
        <v/>
      </c>
      <c r="H35" s="90">
        <f>IF(AND(D35&lt;0,E35=0)=TRUE,0.5*D35,IF(AND(D35=0,E35&gt;0)=TRUE,0.5*E35,IF(D35=-E35,0,IF(AND(D35=-20,E35=100)=TRUE,0.33*E35,IF(AND(D35=-35,E35=300)=TRUE,0.33*E35,IF(AND(D35=-100,E35=160)=TRUE,0.33*E35,IF(AND(D35=-100,E35=900)=TRUE,0.33*E35,"x")))))))</f>
        <v/>
      </c>
      <c r="I35" s="90">
        <f>IF(AND(D35&lt;0,E35=0)=TRUE,0.25*D35,IF(AND(D35=0,E35&gt;0)=TRUE,0.75*E35,IF(D35=-E35,0.5*E35,IF(AND(D35=-20,E35=100)=TRUE,0.66*E35,IF(AND(D35=-35,E35=300)=TRUE,0.66*E35,IF(AND(D35=-100,E35=160)=TRUE,0.66*E35,IF(AND(D35=-100,E35=900)=TRUE,0.66*E35,"x")))))))</f>
        <v/>
      </c>
      <c r="J35" s="91">
        <f>IF(AND(D35&lt;0,E35=0)=TRUE,0*D35,IF(AND(D35=0,E35&gt;0)=TRUE,0.98*E35,IF(D35=-E35,0.98*E35,IF(AND(D35=-20,E35=100)=TRUE,0.98*E35,IF(AND(D35=-35,E35=300)=TRUE,0.98*E35,IF(AND(D35=-100,E35=160)=TRUE,0.98*E35,IF(AND(D35=-100,E35=900)=TRUE,0.98*E35,"x")))))))</f>
        <v/>
      </c>
      <c r="K35" s="501" t="inlineStr">
        <is>
          <t>Fail</t>
        </is>
      </c>
      <c r="L35" s="502" t="inlineStr">
        <is>
          <t>-</t>
        </is>
      </c>
      <c r="M35" s="92">
        <f>F35</f>
        <v/>
      </c>
      <c r="N35" s="93">
        <f>G35</f>
        <v/>
      </c>
      <c r="O35" s="94">
        <f>H35</f>
        <v/>
      </c>
      <c r="P35" s="93">
        <f>I35</f>
        <v/>
      </c>
      <c r="Q35" s="95">
        <f>J35</f>
        <v/>
      </c>
      <c r="R35" s="503" t="inlineStr">
        <is>
          <t>kPa</t>
        </is>
      </c>
      <c r="S35" s="504">
        <f>IF(D35&lt;E35,(E35-D35)*0.002,"x")</f>
        <v/>
      </c>
      <c r="T35" s="503" t="n">
        <v>3350768</v>
      </c>
      <c r="U35" s="42" t="n"/>
    </row>
    <row r="36" ht="15" customFormat="1" customHeight="1" s="2" thickBot="1">
      <c r="A36" s="45" t="n"/>
      <c r="B36" s="505" t="n"/>
      <c r="C36" s="505" t="n"/>
      <c r="D36" s="505" t="n"/>
      <c r="E36" s="506" t="n"/>
      <c r="F36" s="480" t="n">
        <v>0</v>
      </c>
      <c r="G36" s="481" t="n">
        <v>148.16</v>
      </c>
      <c r="H36" s="481" t="n">
        <v>299.62</v>
      </c>
      <c r="I36" s="481" t="n">
        <v>449.43</v>
      </c>
      <c r="J36" s="482" t="n">
        <v>587.42</v>
      </c>
      <c r="K36" s="505" t="n"/>
      <c r="L36" s="505" t="n"/>
      <c r="M36" s="480" t="n">
        <v>0</v>
      </c>
      <c r="N36" s="481" t="n">
        <v>149.92</v>
      </c>
      <c r="O36" s="481" t="n">
        <v>299.81</v>
      </c>
      <c r="P36" s="481" t="n">
        <v>449.69</v>
      </c>
      <c r="Q36" s="482" t="n">
        <v>587.84</v>
      </c>
      <c r="R36" s="505" t="n"/>
      <c r="S36" s="507" t="n"/>
      <c r="T36" s="505" t="n"/>
      <c r="U36" s="42" t="n"/>
    </row>
    <row r="37" ht="15" customFormat="1" customHeight="1" s="2" thickBot="1">
      <c r="A37" s="45" t="n"/>
      <c r="B37" s="337" t="n">
        <v>15</v>
      </c>
      <c r="C37" s="337" t="inlineStr">
        <is>
          <t>PTX15</t>
        </is>
      </c>
      <c r="D37" s="337" t="n">
        <v>0</v>
      </c>
      <c r="E37" s="500" t="n">
        <v>600</v>
      </c>
      <c r="F37" s="163">
        <f>IF(AND(D37&lt;0,E37=0)=TRUE,0.98*D37,IF(AND(D37=0,E37&gt;0)=TRUE,0,IF(D37=-E37,0.98*D37,IF(AND(D37=-20,E37=100)=TRUE,0.98*D37,IF(AND(D37=-35,E37=300)=TRUE,0.98*D37,IF(AND(D37=-100,E37=160)=TRUE,80,IF(AND(D37=-100,E37=900)=TRUE,80,"x")))))))</f>
        <v/>
      </c>
      <c r="G37" s="90">
        <f>IF(AND(D37&lt;0,E37=0)=TRUE,0.75*D37,IF(AND(D37=0,E37&gt;0)=TRUE,0.25*E37,IF(D37=-E37,0.5*D37,IF(AND(D37=-20,E37=100)=TRUE,0,IF(AND(D37=-35,E37=300)=TRUE,0,IF(AND(D37=-100,E37=160)=TRUE,0,IF(AND(D37=-100,E37=900)=TRUE,0,"x")))))))</f>
        <v/>
      </c>
      <c r="H37" s="90">
        <f>IF(AND(D37&lt;0,E37=0)=TRUE,0.5*D37,IF(AND(D37=0,E37&gt;0)=TRUE,0.5*E37,IF(D37=-E37,0,IF(AND(D37=-20,E37=100)=TRUE,0.33*E37,IF(AND(D37=-35,E37=300)=TRUE,0.33*E37,IF(AND(D37=-100,E37=160)=TRUE,0.33*E37,IF(AND(D37=-100,E37=900)=TRUE,0.33*E37,"x")))))))</f>
        <v/>
      </c>
      <c r="I37" s="90">
        <f>IF(AND(D37&lt;0,E37=0)=TRUE,0.25*D37,IF(AND(D37=0,E37&gt;0)=TRUE,0.75*E37,IF(D37=-E37,0.5*E37,IF(AND(D37=-20,E37=100)=TRUE,0.66*E37,IF(AND(D37=-35,E37=300)=TRUE,0.66*E37,IF(AND(D37=-100,E37=160)=TRUE,0.66*E37,IF(AND(D37=-100,E37=900)=TRUE,0.66*E37,"x")))))))</f>
        <v/>
      </c>
      <c r="J37" s="91">
        <f>IF(AND(D37&lt;0,E37=0)=TRUE,0*D37,IF(AND(D37=0,E37&gt;0)=TRUE,0.98*E37,IF(D37=-E37,0.98*E37,IF(AND(D37=-20,E37=100)=TRUE,0.98*E37,IF(AND(D37=-35,E37=300)=TRUE,0.98*E37,IF(AND(D37=-100,E37=160)=TRUE,0.98*E37,IF(AND(D37=-100,E37=900)=TRUE,0.98*E37,"x")))))))</f>
        <v/>
      </c>
      <c r="K37" s="501" t="inlineStr">
        <is>
          <t>Fail</t>
        </is>
      </c>
      <c r="L37" s="502" t="inlineStr">
        <is>
          <t>-</t>
        </is>
      </c>
      <c r="M37" s="92">
        <f>F37</f>
        <v/>
      </c>
      <c r="N37" s="93">
        <f>G37</f>
        <v/>
      </c>
      <c r="O37" s="94">
        <f>H37</f>
        <v/>
      </c>
      <c r="P37" s="93">
        <f>I37</f>
        <v/>
      </c>
      <c r="Q37" s="95">
        <f>J37</f>
        <v/>
      </c>
      <c r="R37" s="503" t="inlineStr">
        <is>
          <t>kPa</t>
        </is>
      </c>
      <c r="S37" s="504">
        <f>IF(D37&lt;E37,(E37-D37)*0.002,"x")</f>
        <v/>
      </c>
      <c r="T37" s="503" t="n">
        <v>3332969</v>
      </c>
      <c r="U37" s="42" t="n"/>
    </row>
    <row r="38" ht="15" customFormat="1" customHeight="1" s="2" thickBot="1">
      <c r="A38" s="45" t="n"/>
      <c r="B38" s="505" t="n"/>
      <c r="C38" s="505" t="n"/>
      <c r="D38" s="505" t="n"/>
      <c r="E38" s="506" t="n"/>
      <c r="F38" s="480" t="n">
        <v>0</v>
      </c>
      <c r="G38" s="481" t="n">
        <v>146.29</v>
      </c>
      <c r="H38" s="481" t="n">
        <v>298.35</v>
      </c>
      <c r="I38" s="481" t="n">
        <v>448.23</v>
      </c>
      <c r="J38" s="482" t="n">
        <v>586.14</v>
      </c>
      <c r="K38" s="505" t="n"/>
      <c r="L38" s="505" t="n"/>
      <c r="M38" s="480" t="n">
        <v>0</v>
      </c>
      <c r="N38" s="481" t="n">
        <v>149.717</v>
      </c>
      <c r="O38" s="481" t="n">
        <v>299.96</v>
      </c>
      <c r="P38" s="481" t="n">
        <v>450.03</v>
      </c>
      <c r="Q38" s="482" t="n">
        <v>588.11</v>
      </c>
      <c r="R38" s="505" t="n"/>
      <c r="S38" s="507" t="n"/>
      <c r="T38" s="505" t="n"/>
      <c r="U38" s="42" t="n"/>
    </row>
    <row r="39" ht="15" customFormat="1" customHeight="1" s="2" thickBot="1">
      <c r="A39" s="45" t="n"/>
      <c r="B39" s="337" t="n">
        <v>16</v>
      </c>
      <c r="C39" s="337" t="inlineStr">
        <is>
          <t>PTX16</t>
        </is>
      </c>
      <c r="D39" s="337" t="n">
        <v>-35</v>
      </c>
      <c r="E39" s="500" t="n">
        <v>35</v>
      </c>
      <c r="F39" s="163">
        <f>IF(AND(D39&lt;0,E39=0)=TRUE,0.98*D39,IF(AND(D39=0,E39&gt;0)=TRUE,0,IF(D39=-E39,0.98*D39,IF(AND(D39=-20,E39=100)=TRUE,0.98*D39,IF(AND(D39=-35,E39=300)=TRUE,0.98*D39,IF(AND(D39=-100,E39=160)=TRUE,80,IF(AND(D39=-100,E39=900)=TRUE,80,"x")))))))</f>
        <v/>
      </c>
      <c r="G39" s="90">
        <f>IF(AND(D39&lt;0,E39=0)=TRUE,0.75*D39,IF(AND(D39=0,E39&gt;0)=TRUE,0.25*E39,IF(D39=-E39,0.5*D39,IF(AND(D39=-20,E39=100)=TRUE,0,IF(AND(D39=-35,E39=300)=TRUE,0,IF(AND(D39=-100,E39=160)=TRUE,0,IF(AND(D39=-100,E39=900)=TRUE,0,"x")))))))</f>
        <v/>
      </c>
      <c r="H39" s="90">
        <f>IF(AND(D39&lt;0,E39=0)=TRUE,0.5*D39,IF(AND(D39=0,E39&gt;0)=TRUE,0.5*E39,IF(D39=-E39,0,IF(AND(D39=-20,E39=100)=TRUE,0.33*E39,IF(AND(D39=-35,E39=300)=TRUE,0.33*E39,IF(AND(D39=-100,E39=160)=TRUE,0.33*E39,IF(AND(D39=-100,E39=900)=TRUE,0.33*E39,"x")))))))</f>
        <v/>
      </c>
      <c r="I39" s="90">
        <f>IF(AND(D39&lt;0,E39=0)=TRUE,0.25*D39,IF(AND(D39=0,E39&gt;0)=TRUE,0.75*E39,IF(D39=-E39,0.5*E39,IF(AND(D39=-20,E39=100)=TRUE,0.66*E39,IF(AND(D39=-35,E39=300)=TRUE,0.66*E39,IF(AND(D39=-100,E39=160)=TRUE,0.66*E39,IF(AND(D39=-100,E39=900)=TRUE,0.66*E39,"x")))))))</f>
        <v/>
      </c>
      <c r="J39" s="91">
        <f>IF(AND(D39&lt;0,E39=0)=TRUE,0*D39,IF(AND(D39=0,E39&gt;0)=TRUE,0.98*E39,IF(D39=-E39,0.98*E39,IF(AND(D39=-20,E39=100)=TRUE,0.98*E39,IF(AND(D39=-35,E39=300)=TRUE,0.98*E39,IF(AND(D39=-100,E39=160)=TRUE,0.98*E39,IF(AND(D39=-100,E39=900)=TRUE,0.98*E39,"x")))))))</f>
        <v/>
      </c>
      <c r="K39" s="501" t="inlineStr">
        <is>
          <t>Fail</t>
        </is>
      </c>
      <c r="L39" s="502" t="inlineStr">
        <is>
          <t>-</t>
        </is>
      </c>
      <c r="M39" s="92">
        <f>F39</f>
        <v/>
      </c>
      <c r="N39" s="93">
        <f>G39</f>
        <v/>
      </c>
      <c r="O39" s="94">
        <f>H39</f>
        <v/>
      </c>
      <c r="P39" s="93">
        <f>I39</f>
        <v/>
      </c>
      <c r="Q39" s="95">
        <f>J39</f>
        <v/>
      </c>
      <c r="R39" s="503" t="inlineStr">
        <is>
          <t>kPa</t>
        </is>
      </c>
      <c r="S39" s="504">
        <f>IF(D39&lt;E39,(E39-D39)*0.002,"x")</f>
        <v/>
      </c>
      <c r="T39" s="503" t="n">
        <v>3585443</v>
      </c>
      <c r="U39" s="42" t="n"/>
    </row>
    <row r="40" ht="15" customFormat="1" customHeight="1" s="2" thickBot="1">
      <c r="A40" s="45" t="n"/>
      <c r="B40" s="505" t="n"/>
      <c r="C40" s="505" t="n"/>
      <c r="D40" s="505" t="n"/>
      <c r="E40" s="506" t="n"/>
      <c r="F40" s="480" t="n">
        <v>-34.23</v>
      </c>
      <c r="G40" s="481" t="n">
        <v>-17.46</v>
      </c>
      <c r="H40" s="481" t="n">
        <v>0.07000000000000001</v>
      </c>
      <c r="I40" s="481" t="n">
        <v>17.53</v>
      </c>
      <c r="J40" s="482" t="n">
        <v>34.34</v>
      </c>
      <c r="K40" s="505" t="n"/>
      <c r="L40" s="505" t="n"/>
      <c r="M40" s="480" t="n">
        <v>-34.29</v>
      </c>
      <c r="N40" s="480" t="n">
        <v>-17.49</v>
      </c>
      <c r="O40" s="480" t="n">
        <v>-0.01</v>
      </c>
      <c r="P40" s="480" t="n">
        <v>17.5</v>
      </c>
      <c r="Q40" s="480" t="n">
        <v>34.29</v>
      </c>
      <c r="R40" s="505" t="n"/>
      <c r="S40" s="507" t="n"/>
      <c r="T40" s="505" t="n"/>
      <c r="U40" s="42" t="n"/>
    </row>
    <row r="41" ht="15" customFormat="1" customHeight="1" s="2" thickBot="1">
      <c r="A41" s="45" t="n"/>
      <c r="B41" s="337" t="n">
        <v>17</v>
      </c>
      <c r="C41" s="337" t="inlineStr">
        <is>
          <t>PTX17</t>
        </is>
      </c>
      <c r="D41" s="337" t="n">
        <v>-35</v>
      </c>
      <c r="E41" s="500" t="n">
        <v>35</v>
      </c>
      <c r="F41" s="163">
        <f>IF(AND(D41&lt;0,E41=0)=TRUE,0.98*D41,IF(AND(D41=0,E41&gt;0)=TRUE,0,IF(D41=-E41,0.98*D41,IF(AND(D41=-20,E41=100)=TRUE,0.98*D41,IF(AND(D41=-35,E41=300)=TRUE,0.98*D41,IF(AND(D41=-100,E41=160)=TRUE,80,IF(AND(D41=-100,E41=900)=TRUE,80,"x")))))))</f>
        <v/>
      </c>
      <c r="G41" s="90">
        <f>IF(AND(D41&lt;0,E41=0)=TRUE,0.75*D41,IF(AND(D41=0,E41&gt;0)=TRUE,0.25*E41,IF(D41=-E41,0.5*D41,IF(AND(D41=-20,E41=100)=TRUE,0,IF(AND(D41=-35,E41=300)=TRUE,0,IF(AND(D41=-100,E41=160)=TRUE,0,IF(AND(D41=-100,E41=900)=TRUE,0,"x")))))))</f>
        <v/>
      </c>
      <c r="H41" s="90">
        <f>IF(AND(D41&lt;0,E41=0)=TRUE,0.5*D41,IF(AND(D41=0,E41&gt;0)=TRUE,0.5*E41,IF(D41=-E41,0,IF(AND(D41=-20,E41=100)=TRUE,0.33*E41,IF(AND(D41=-35,E41=300)=TRUE,0.33*E41,IF(AND(D41=-100,E41=160)=TRUE,0.33*E41,IF(AND(D41=-100,E41=900)=TRUE,0.33*E41,"x")))))))</f>
        <v/>
      </c>
      <c r="I41" s="90">
        <f>IF(AND(D41&lt;0,E41=0)=TRUE,0.25*D41,IF(AND(D41=0,E41&gt;0)=TRUE,0.75*E41,IF(D41=-E41,0.5*E41,IF(AND(D41=-20,E41=100)=TRUE,0.66*E41,IF(AND(D41=-35,E41=300)=TRUE,0.66*E41,IF(AND(D41=-100,E41=160)=TRUE,0.66*E41,IF(AND(D41=-100,E41=900)=TRUE,0.66*E41,"x")))))))</f>
        <v/>
      </c>
      <c r="J41" s="91">
        <f>IF(AND(D41&lt;0,E41=0)=TRUE,0*D41,IF(AND(D41=0,E41&gt;0)=TRUE,0.98*E41,IF(D41=-E41,0.98*E41,IF(AND(D41=-20,E41=100)=TRUE,0.98*E41,IF(AND(D41=-35,E41=300)=TRUE,0.98*E41,IF(AND(D41=-100,E41=160)=TRUE,0.98*E41,IF(AND(D41=-100,E41=900)=TRUE,0.98*E41,"x")))))))</f>
        <v/>
      </c>
      <c r="K41" s="501" t="inlineStr">
        <is>
          <t>Pass</t>
        </is>
      </c>
      <c r="L41" s="502" t="inlineStr">
        <is>
          <t>-</t>
        </is>
      </c>
      <c r="M41" s="92">
        <f>F41</f>
        <v/>
      </c>
      <c r="N41" s="93">
        <f>G41</f>
        <v/>
      </c>
      <c r="O41" s="94">
        <f>H41</f>
        <v/>
      </c>
      <c r="P41" s="93">
        <f>I41</f>
        <v/>
      </c>
      <c r="Q41" s="95">
        <f>J41</f>
        <v/>
      </c>
      <c r="R41" s="503" t="inlineStr">
        <is>
          <t>kPa</t>
        </is>
      </c>
      <c r="S41" s="504">
        <f>IF(D41&lt;E41,(E41-D41)*0.002,"x")</f>
        <v/>
      </c>
      <c r="T41" s="503" t="n">
        <v>3334112</v>
      </c>
      <c r="U41" s="42" t="n"/>
    </row>
    <row r="42" ht="15" customFormat="1" customHeight="1" s="2" thickBot="1">
      <c r="A42" s="45" t="n"/>
      <c r="B42" s="505" t="n"/>
      <c r="C42" s="505" t="n"/>
      <c r="D42" s="505" t="n"/>
      <c r="E42" s="506" t="n"/>
      <c r="F42" s="480" t="n">
        <v>-34.21</v>
      </c>
      <c r="G42" s="481" t="n">
        <v>-17.59</v>
      </c>
      <c r="H42" s="481" t="n">
        <v>-0.06</v>
      </c>
      <c r="I42" s="481" t="n">
        <v>17.41</v>
      </c>
      <c r="J42" s="482" t="n">
        <v>34.23</v>
      </c>
      <c r="K42" s="505" t="n"/>
      <c r="L42" s="505" t="n"/>
      <c r="M42" s="480" t="n"/>
      <c r="N42" s="481" t="n"/>
      <c r="O42" s="481" t="n"/>
      <c r="P42" s="481" t="n"/>
      <c r="Q42" s="482" t="n"/>
      <c r="R42" s="505" t="n"/>
      <c r="S42" s="507" t="n"/>
      <c r="T42" s="505" t="n"/>
      <c r="U42" s="42" t="n"/>
    </row>
    <row r="43" ht="15" customFormat="1" customHeight="1" s="2" thickBot="1">
      <c r="A43" s="45" t="n"/>
      <c r="B43" s="337" t="n">
        <v>18</v>
      </c>
      <c r="C43" s="337" t="inlineStr">
        <is>
          <t>PTX18</t>
        </is>
      </c>
      <c r="D43" s="337" t="n">
        <v>-35</v>
      </c>
      <c r="E43" s="500" t="n">
        <v>35</v>
      </c>
      <c r="F43" s="163" t="n">
        <v>-34.3</v>
      </c>
      <c r="G43" s="90">
        <f>IF(AND(D43&lt;0,E43=0)=TRUE,0.75*D43,IF(AND(D43=0,E43&gt;0)=TRUE,0.25*E43,IF(D43=-E43,0.5*D43,IF(AND(D43=-20,E43=100)=TRUE,0,IF(AND(D43=-35,E43=300)=TRUE,0,IF(AND(D43=-100,E43=160)=TRUE,0,IF(AND(D43=-100,E43=900)=TRUE,0,"x")))))))</f>
        <v/>
      </c>
      <c r="H43" s="90">
        <f>IF(AND(D43&lt;0,E43=0)=TRUE,0.5*D43,IF(AND(D43=0,E43&gt;0)=TRUE,0.5*E43,IF(D43=-E43,0,IF(AND(D43=-20,E43=100)=TRUE,0.33*E43,IF(AND(D43=-35,E43=300)=TRUE,0.33*E43,IF(AND(D43=-100,E43=160)=TRUE,0.33*E43,IF(AND(D43=-100,E43=900)=TRUE,0.33*E43,"x")))))))</f>
        <v/>
      </c>
      <c r="I43" s="90">
        <f>IF(AND(D43&lt;0,E43=0)=TRUE,0.25*D43,IF(AND(D43=0,E43&gt;0)=TRUE,0.75*E43,IF(D43=-E43,0.5*E43,IF(AND(D43=-20,E43=100)=TRUE,0.66*E43,IF(AND(D43=-35,E43=300)=TRUE,0.66*E43,IF(AND(D43=-100,E43=160)=TRUE,0.66*E43,IF(AND(D43=-100,E43=900)=TRUE,0.66*E43,"x")))))))</f>
        <v/>
      </c>
      <c r="J43" s="91">
        <f>IF(AND(D43&lt;0,E43=0)=TRUE,0*D43,IF(AND(D43=0,E43&gt;0)=TRUE,0.98*E43,IF(D43=-E43,0.98*E43,IF(AND(D43=-20,E43=100)=TRUE,0.98*E43,IF(AND(D43=-35,E43=300)=TRUE,0.98*E43,IF(AND(D43=-100,E43=160)=TRUE,0.98*E43,IF(AND(D43=-100,E43=900)=TRUE,0.98*E43,"x")))))))</f>
        <v/>
      </c>
      <c r="K43" s="501" t="inlineStr">
        <is>
          <t>Pass</t>
        </is>
      </c>
      <c r="L43" s="502" t="inlineStr">
        <is>
          <t>-</t>
        </is>
      </c>
      <c r="M43" s="92">
        <f>F43</f>
        <v/>
      </c>
      <c r="N43" s="93">
        <f>G43</f>
        <v/>
      </c>
      <c r="O43" s="94">
        <f>H43</f>
        <v/>
      </c>
      <c r="P43" s="93">
        <f>I43</f>
        <v/>
      </c>
      <c r="Q43" s="95">
        <f>J43</f>
        <v/>
      </c>
      <c r="R43" s="503" t="inlineStr">
        <is>
          <t>kPa</t>
        </is>
      </c>
      <c r="S43" s="504">
        <f>IF(D43&lt;E43,(E43-D43)*0.002,"x")</f>
        <v/>
      </c>
      <c r="T43" s="503" t="n">
        <v>3573116</v>
      </c>
      <c r="U43" s="42" t="n"/>
    </row>
    <row r="44" ht="15" customFormat="1" customHeight="1" s="2" thickBot="1">
      <c r="A44" s="45" t="n"/>
      <c r="B44" s="505" t="n"/>
      <c r="C44" s="505" t="n"/>
      <c r="D44" s="505" t="n"/>
      <c r="E44" s="506" t="n"/>
      <c r="F44" s="480" t="n">
        <v>-34.3</v>
      </c>
      <c r="G44" s="481" t="n">
        <v>-17.51</v>
      </c>
      <c r="H44" s="481" t="n">
        <v>0</v>
      </c>
      <c r="I44" s="481" t="n">
        <v>17.5</v>
      </c>
      <c r="J44" s="482" t="n">
        <v>34.3</v>
      </c>
      <c r="K44" s="505" t="n"/>
      <c r="L44" s="505" t="n"/>
      <c r="M44" s="480" t="n"/>
      <c r="N44" s="481" t="n"/>
      <c r="O44" s="481" t="n"/>
      <c r="P44" s="481" t="n"/>
      <c r="Q44" s="482" t="n"/>
      <c r="R44" s="505" t="n"/>
      <c r="S44" s="507" t="n"/>
      <c r="T44" s="505" t="n"/>
      <c r="U44" s="42" t="n"/>
    </row>
    <row r="45" ht="15" customFormat="1" customHeight="1" s="2" thickBot="1">
      <c r="A45" s="45" t="n"/>
      <c r="B45" s="337" t="n">
        <v>19</v>
      </c>
      <c r="C45" s="337" t="inlineStr">
        <is>
          <t>PTX19</t>
        </is>
      </c>
      <c r="D45" s="337" t="n">
        <v>0</v>
      </c>
      <c r="E45" s="500" t="n">
        <v>600</v>
      </c>
      <c r="F45" s="163">
        <f>IF(AND(D45&lt;0,E45=0)=TRUE,0.98*D45,IF(AND(D45=0,E45&gt;0)=TRUE,0,IF(D45=-E45,0.98*D45,IF(AND(D45=-20,E45=100)=TRUE,0.98*D45,IF(AND(D45=-35,E45=300)=TRUE,0.98*D45,IF(AND(D45=-100,E45=160)=TRUE,80,IF(AND(D45=-100,E45=900)=TRUE,80,"x")))))))</f>
        <v/>
      </c>
      <c r="G45" s="90">
        <f>IF(AND(D45&lt;0,E45=0)=TRUE,0.75*D45,IF(AND(D45=0,E45&gt;0)=TRUE,0.25*E45,IF(D45=-E45,0.5*D45,IF(AND(D45=-20,E45=100)=TRUE,0,IF(AND(D45=-35,E45=300)=TRUE,0,IF(AND(D45=-100,E45=160)=TRUE,0,IF(AND(D45=-100,E45=900)=TRUE,0,"x")))))))</f>
        <v/>
      </c>
      <c r="H45" s="90">
        <f>IF(AND(D45&lt;0,E45=0)=TRUE,0.5*D45,IF(AND(D45=0,E45&gt;0)=TRUE,0.5*E45,IF(D45=-E45,0,IF(AND(D45=-20,E45=100)=TRUE,0.33*E45,IF(AND(D45=-35,E45=300)=TRUE,0.33*E45,IF(AND(D45=-100,E45=160)=TRUE,0.33*E45,IF(AND(D45=-100,E45=900)=TRUE,0.33*E45,"x")))))))</f>
        <v/>
      </c>
      <c r="I45" s="90">
        <f>IF(AND(D45&lt;0,E45=0)=TRUE,0.25*D45,IF(AND(D45=0,E45&gt;0)=TRUE,0.75*E45,IF(D45=-E45,0.5*E45,IF(AND(D45=-20,E45=100)=TRUE,0.66*E45,IF(AND(D45=-35,E45=300)=TRUE,0.66*E45,IF(AND(D45=-100,E45=160)=TRUE,0.66*E45,IF(AND(D45=-100,E45=900)=TRUE,0.66*E45,"x")))))))</f>
        <v/>
      </c>
      <c r="J45" s="91">
        <f>IF(AND(D45&lt;0,E45=0)=TRUE,0*D45,IF(AND(D45=0,E45&gt;0)=TRUE,0.98*E45,IF(D45=-E45,0.98*E45,IF(AND(D45=-20,E45=100)=TRUE,0.98*E45,IF(AND(D45=-35,E45=300)=TRUE,0.98*E45,IF(AND(D45=-100,E45=160)=TRUE,0.98*E45,IF(AND(D45=-100,E45=900)=TRUE,0.98*E45,"x")))))))</f>
        <v/>
      </c>
      <c r="K45" s="501" t="inlineStr">
        <is>
          <t>Fail</t>
        </is>
      </c>
      <c r="L45" s="502" t="inlineStr">
        <is>
          <t>-</t>
        </is>
      </c>
      <c r="M45" s="92">
        <f>F45</f>
        <v/>
      </c>
      <c r="N45" s="93">
        <f>G45</f>
        <v/>
      </c>
      <c r="O45" s="94">
        <f>H45</f>
        <v/>
      </c>
      <c r="P45" s="93">
        <f>I45</f>
        <v/>
      </c>
      <c r="Q45" s="95">
        <f>J45</f>
        <v/>
      </c>
      <c r="R45" s="503" t="inlineStr">
        <is>
          <t>kPa</t>
        </is>
      </c>
      <c r="S45" s="504">
        <f>IF(D45&lt;E45,(E45-D45)*0.002,"x")</f>
        <v/>
      </c>
      <c r="T45" s="503" t="n">
        <v>3603395</v>
      </c>
      <c r="U45" s="42" t="n"/>
    </row>
    <row r="46" ht="15" customFormat="1" customHeight="1" s="2" thickBot="1">
      <c r="A46" s="45" t="n"/>
      <c r="B46" s="505" t="n"/>
      <c r="C46" s="505" t="n"/>
      <c r="D46" s="505" t="n"/>
      <c r="E46" s="506" t="n"/>
      <c r="F46" s="480" t="n">
        <v>-0.03</v>
      </c>
      <c r="G46" s="481" t="n">
        <v>149.78</v>
      </c>
      <c r="H46" s="481" t="n">
        <v>299.75</v>
      </c>
      <c r="I46" s="481" t="n">
        <v>449.66</v>
      </c>
      <c r="J46" s="482" t="n">
        <v>581.95</v>
      </c>
      <c r="K46" s="505" t="n"/>
      <c r="L46" s="505" t="n"/>
      <c r="M46" s="480" t="n">
        <v>0.03</v>
      </c>
      <c r="N46" s="481" t="n">
        <v>149.84</v>
      </c>
      <c r="O46" s="481" t="n">
        <v>299.88</v>
      </c>
      <c r="P46" s="481" t="n">
        <v>449.88</v>
      </c>
      <c r="Q46" s="482" t="n">
        <v>588</v>
      </c>
      <c r="R46" s="505" t="n"/>
      <c r="S46" s="507" t="n"/>
      <c r="T46" s="505" t="n"/>
      <c r="U46" s="42" t="n"/>
    </row>
    <row r="47" ht="15" customFormat="1" customHeight="1" s="2" thickBot="1">
      <c r="A47" s="45" t="n"/>
      <c r="B47" s="337" t="n">
        <v>20</v>
      </c>
      <c r="C47" s="337" t="inlineStr">
        <is>
          <t>PTX20</t>
        </is>
      </c>
      <c r="D47" s="337" t="n">
        <v>0</v>
      </c>
      <c r="E47" s="500" t="n">
        <v>600</v>
      </c>
      <c r="F47" s="163">
        <f>IF(AND(D47&lt;0,E47=0)=TRUE,0.98*D47,IF(AND(D47=0,E47&gt;0)=TRUE,0,IF(D47=-E47,0.98*D47,IF(AND(D47=-20,E47=100)=TRUE,0.98*D47,IF(AND(D47=-35,E47=300)=TRUE,0.98*D47,IF(AND(D47=-100,E47=160)=TRUE,80,IF(AND(D47=-100,E47=900)=TRUE,80,"x")))))))</f>
        <v/>
      </c>
      <c r="G47" s="90">
        <f>IF(AND(D47&lt;0,E47=0)=TRUE,0.75*D47,IF(AND(D47=0,E47&gt;0)=TRUE,0.25*E47,IF(D47=-E47,0.5*D47,IF(AND(D47=-20,E47=100)=TRUE,0,IF(AND(D47=-35,E47=300)=TRUE,0,IF(AND(D47=-100,E47=160)=TRUE,0,IF(AND(D47=-100,E47=900)=TRUE,0,"x")))))))</f>
        <v/>
      </c>
      <c r="H47" s="90">
        <f>IF(AND(D47&lt;0,E47=0)=TRUE,0.5*D47,IF(AND(D47=0,E47&gt;0)=TRUE,0.5*E47,IF(D47=-E47,0,IF(AND(D47=-20,E47=100)=TRUE,0.33*E47,IF(AND(D47=-35,E47=300)=TRUE,0.33*E47,IF(AND(D47=-100,E47=160)=TRUE,0.33*E47,IF(AND(D47=-100,E47=900)=TRUE,0.33*E47,"x")))))))</f>
        <v/>
      </c>
      <c r="I47" s="90">
        <f>IF(AND(D47&lt;0,E47=0)=TRUE,0.25*D47,IF(AND(D47=0,E47&gt;0)=TRUE,0.75*E47,IF(D47=-E47,0.5*E47,IF(AND(D47=-20,E47=100)=TRUE,0.66*E47,IF(AND(D47=-35,E47=300)=TRUE,0.66*E47,IF(AND(D47=-100,E47=160)=TRUE,0.66*E47,IF(AND(D47=-100,E47=900)=TRUE,0.66*E47,"x")))))))</f>
        <v/>
      </c>
      <c r="J47" s="91">
        <f>IF(AND(D47&lt;0,E47=0)=TRUE,0*D47,IF(AND(D47=0,E47&gt;0)=TRUE,0.98*E47,IF(D47=-E47,0.98*E47,IF(AND(D47=-20,E47=100)=TRUE,0.98*E47,IF(AND(D47=-35,E47=300)=TRUE,0.98*E47,IF(AND(D47=-100,E47=160)=TRUE,0.98*E47,IF(AND(D47=-100,E47=900)=TRUE,0.98*E47,"x")))))))</f>
        <v/>
      </c>
      <c r="K47" s="501" t="inlineStr">
        <is>
          <t>Pass</t>
        </is>
      </c>
      <c r="L47" s="502" t="inlineStr">
        <is>
          <t>-</t>
        </is>
      </c>
      <c r="M47" s="92">
        <f>F47</f>
        <v/>
      </c>
      <c r="N47" s="93">
        <f>G47</f>
        <v/>
      </c>
      <c r="O47" s="94">
        <f>H47</f>
        <v/>
      </c>
      <c r="P47" s="93">
        <f>I47</f>
        <v/>
      </c>
      <c r="Q47" s="95">
        <f>J47</f>
        <v/>
      </c>
      <c r="R47" s="503" t="inlineStr">
        <is>
          <t>kPa</t>
        </is>
      </c>
      <c r="S47" s="504">
        <f>IF(D47&lt;E47,(E47-D47)*0.002,"x")</f>
        <v/>
      </c>
      <c r="T47" s="503" t="n">
        <v>3354314</v>
      </c>
      <c r="U47" s="42" t="n"/>
    </row>
    <row r="48" ht="15" customFormat="1" customHeight="1" s="2" thickBot="1">
      <c r="A48" s="45" t="n"/>
      <c r="B48" s="505" t="n"/>
      <c r="C48" s="505" t="n"/>
      <c r="D48" s="505" t="n"/>
      <c r="E48" s="506" t="n"/>
      <c r="F48" s="480" t="n">
        <v>0.03</v>
      </c>
      <c r="G48" s="481" t="n">
        <v>150.18</v>
      </c>
      <c r="H48" s="481" t="n">
        <v>300.14</v>
      </c>
      <c r="I48" s="481" t="n">
        <v>449.66</v>
      </c>
      <c r="J48" s="482" t="n">
        <v>588.0700000000001</v>
      </c>
      <c r="K48" s="505" t="n"/>
      <c r="L48" s="505" t="n"/>
      <c r="M48" s="480" t="n"/>
      <c r="N48" s="481" t="n"/>
      <c r="O48" s="481" t="n"/>
      <c r="P48" s="481" t="n"/>
      <c r="Q48" s="482" t="n"/>
      <c r="R48" s="505" t="n"/>
      <c r="S48" s="507" t="n"/>
      <c r="T48" s="505" t="n"/>
      <c r="U48" s="42" t="n"/>
    </row>
    <row r="49" ht="15" customFormat="1" customHeight="1" s="2" thickBot="1">
      <c r="A49" s="45" t="n"/>
      <c r="B49" s="11" t="n"/>
      <c r="C49" s="11" t="n"/>
      <c r="D49" s="11" t="n"/>
      <c r="E49" s="11" t="inlineStr">
        <is>
          <t xml:space="preserve">         Pre-Cals. Checked By.</t>
        </is>
      </c>
      <c r="F49" s="496" t="inlineStr">
        <is>
          <t>CD</t>
        </is>
      </c>
      <c r="G49" s="472" t="n"/>
      <c r="H49" s="15" t="n"/>
      <c r="I49" s="15" t="n"/>
      <c r="J49" s="15" t="n"/>
      <c r="K49" s="15" t="n"/>
      <c r="L49" s="15" t="n"/>
      <c r="M49" s="15" t="n"/>
      <c r="N49" s="15" t="n"/>
      <c r="O49" s="15" t="n"/>
      <c r="P49" s="15" t="n"/>
      <c r="Q49" s="15" t="n"/>
      <c r="R49" s="15" t="n"/>
      <c r="S49" s="15" t="n"/>
      <c r="T49" s="15" t="n"/>
      <c r="U49" s="42" t="n"/>
    </row>
    <row r="50" ht="15" customFormat="1" customHeight="1" s="2">
      <c r="A50" s="45" t="n"/>
      <c r="B50" s="24" t="n"/>
      <c r="C50" s="15" t="n"/>
      <c r="D50" s="15" t="n"/>
      <c r="E50" s="15" t="n"/>
      <c r="F50" s="15" t="n"/>
      <c r="G50" s="11" t="n"/>
      <c r="H50" s="11" t="n"/>
      <c r="I50" s="11" t="n"/>
      <c r="J50" s="11" t="n"/>
      <c r="K50" s="11" t="n"/>
      <c r="L50" s="14" t="n"/>
      <c r="M50" s="15" t="n"/>
      <c r="N50" s="508" t="n"/>
      <c r="O50" s="508" t="n"/>
      <c r="P50" s="15" t="n"/>
      <c r="Q50" s="15" t="n"/>
      <c r="R50" s="15" t="n"/>
      <c r="S50" s="15" t="n"/>
      <c r="T50" s="15" t="n"/>
      <c r="U50" s="42" t="n"/>
    </row>
    <row r="51" ht="15" customFormat="1" customHeight="1" s="2" thickBot="1">
      <c r="A51" s="45" t="n"/>
      <c r="B51" s="24" t="n"/>
      <c r="C51" s="11" t="n"/>
      <c r="D51" s="11" t="n"/>
      <c r="E51" s="11" t="inlineStr">
        <is>
          <t xml:space="preserve">Pressure Calibrator Used. </t>
        </is>
      </c>
      <c r="F51" s="346" t="inlineStr">
        <is>
          <t>DEVT No.</t>
        </is>
      </c>
      <c r="G51" s="509" t="n"/>
      <c r="H51" s="346" t="inlineStr">
        <is>
          <t>Make / Model</t>
        </is>
      </c>
      <c r="I51" s="509" t="n"/>
      <c r="J51" s="509" t="n"/>
      <c r="K51" s="346" t="inlineStr">
        <is>
          <t>Serial Number</t>
        </is>
      </c>
      <c r="L51" s="509" t="n"/>
      <c r="M51" s="509" t="n"/>
      <c r="N51" s="346" t="inlineStr">
        <is>
          <t>Calibration Next Due</t>
        </is>
      </c>
      <c r="O51" s="509" t="n"/>
      <c r="P51" s="509" t="n"/>
      <c r="Q51" s="15" t="n"/>
      <c r="R51" s="15" t="n"/>
      <c r="S51" s="15" t="n"/>
      <c r="T51" s="15" t="n"/>
      <c r="U51" s="42" t="n"/>
    </row>
    <row r="52" ht="15" customFormat="1" customHeight="1" s="2">
      <c r="A52" s="45" t="n"/>
      <c r="B52" s="24" t="n"/>
      <c r="C52" s="15" t="n"/>
      <c r="D52" s="15" t="n"/>
      <c r="E52" s="96" t="inlineStr">
        <is>
          <t xml:space="preserve">Range A --&gt; -35 to 35 kPa </t>
        </is>
      </c>
      <c r="F52" s="510" t="n">
        <v>105</v>
      </c>
      <c r="G52" s="511" t="n"/>
      <c r="H52" s="512" t="inlineStr">
        <is>
          <t>Druck DPI 620</t>
        </is>
      </c>
      <c r="I52" s="513" t="n"/>
      <c r="J52" s="511" t="n"/>
      <c r="K52" s="514" t="n"/>
      <c r="L52" s="513" t="n"/>
      <c r="M52" s="511" t="n"/>
      <c r="N52" s="515" t="n">
        <v>44866</v>
      </c>
      <c r="O52" s="513" t="n"/>
      <c r="P52" s="486" t="n"/>
      <c r="Q52" s="508" t="n"/>
      <c r="R52" s="508" t="inlineStr">
        <is>
          <t>Where</t>
        </is>
      </c>
      <c r="S52" s="97" t="inlineStr">
        <is>
          <t>set point</t>
        </is>
      </c>
      <c r="T52" s="15" t="inlineStr">
        <is>
          <t>are the</t>
        </is>
      </c>
      <c r="U52" s="42" t="n"/>
    </row>
    <row r="53" ht="15" customFormat="1" customHeight="1" s="2">
      <c r="A53" s="45" t="n"/>
      <c r="B53" s="24" t="n"/>
      <c r="C53" s="15" t="n"/>
      <c r="D53" s="15" t="n"/>
      <c r="E53" s="96" t="inlineStr">
        <is>
          <t xml:space="preserve">Range B --&gt; -100 to 600 kPa </t>
        </is>
      </c>
      <c r="F53" s="516" t="n"/>
      <c r="G53" s="517" t="n"/>
      <c r="H53" s="518" t="n"/>
      <c r="I53" s="519" t="n"/>
      <c r="J53" s="517" t="n"/>
      <c r="K53" s="520" t="n"/>
      <c r="L53" s="519" t="n"/>
      <c r="M53" s="517" t="n"/>
      <c r="N53" s="521" t="n"/>
      <c r="O53" s="519" t="n"/>
      <c r="P53" s="522" t="n"/>
      <c r="Q53" s="15" t="n"/>
      <c r="R53" s="15" t="n"/>
      <c r="S53" s="24" t="inlineStr">
        <is>
          <t>calibration points.</t>
        </is>
      </c>
      <c r="T53" s="14" t="n"/>
      <c r="U53" s="42" t="n"/>
    </row>
    <row r="54" ht="15" customFormat="1" customHeight="1" s="2" thickBot="1">
      <c r="A54" s="45" t="n"/>
      <c r="B54" s="24" t="n"/>
      <c r="C54" s="15" t="n"/>
      <c r="D54" s="15" t="n"/>
      <c r="E54" s="96" t="inlineStr">
        <is>
          <t xml:space="preserve">Range C --&gt; 600 to 1000 kPa </t>
        </is>
      </c>
      <c r="F54" s="523" t="n">
        <v>105</v>
      </c>
      <c r="G54" s="524" t="n"/>
      <c r="H54" s="525" t="inlineStr">
        <is>
          <t>Druck DPI 620</t>
        </is>
      </c>
      <c r="I54" s="526" t="n"/>
      <c r="J54" s="524" t="n"/>
      <c r="K54" s="527" t="n"/>
      <c r="L54" s="526" t="n"/>
      <c r="M54" s="524" t="n"/>
      <c r="N54" s="528" t="n">
        <v>44866</v>
      </c>
      <c r="O54" s="526" t="n"/>
      <c r="P54" s="529" t="n"/>
      <c r="Q54" s="11" t="n"/>
      <c r="R54" s="11" t="n"/>
      <c r="S54" s="15" t="n"/>
      <c r="T54" s="15" t="n"/>
      <c r="U54" s="42" t="n"/>
    </row>
    <row r="55" ht="15" customFormat="1" customHeight="1" s="2" thickBot="1">
      <c r="A55" s="98" t="n"/>
      <c r="B55" s="99" t="n"/>
      <c r="C55" s="99" t="n"/>
      <c r="D55" s="99" t="n"/>
      <c r="E55" s="99" t="n"/>
      <c r="F55" s="99" t="n"/>
      <c r="G55" s="99" t="n"/>
      <c r="H55" s="99" t="n"/>
      <c r="I55" s="99" t="n"/>
      <c r="J55" s="99" t="n"/>
      <c r="K55" s="99" t="n"/>
      <c r="L55" s="99" t="n"/>
      <c r="M55" s="99" t="n"/>
      <c r="N55" s="99" t="n"/>
      <c r="O55" s="99" t="n"/>
      <c r="P55" s="100" t="n"/>
      <c r="Q55" s="99" t="n"/>
      <c r="R55" s="99" t="n"/>
      <c r="S55" s="99" t="n"/>
      <c r="T55" s="99" t="n"/>
      <c r="U55" s="46" t="n"/>
    </row>
    <row r="56" ht="15" customFormat="1" customHeight="1" s="2" thickTop="1">
      <c r="A56" s="38" t="n"/>
      <c r="B56" s="39" t="n"/>
      <c r="C56" s="39" t="n"/>
      <c r="D56" s="39" t="n"/>
      <c r="E56" s="39" t="n"/>
      <c r="F56" s="39" t="n"/>
      <c r="G56" s="39" t="n"/>
      <c r="H56" s="39" t="n"/>
      <c r="I56" s="39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83" t="n"/>
    </row>
    <row r="57" ht="15" customFormat="1" customHeight="1" s="2">
      <c r="A57" s="494" t="inlineStr">
        <is>
          <t>Test Bed Pressure Measurement Calibration</t>
        </is>
      </c>
      <c r="B57" s="461" t="n"/>
      <c r="C57" s="461" t="n"/>
      <c r="D57" s="461" t="n"/>
      <c r="E57" s="461" t="n"/>
      <c r="F57" s="461" t="n"/>
      <c r="G57" s="461" t="n"/>
      <c r="H57" s="461" t="n"/>
      <c r="I57" s="461" t="n"/>
      <c r="J57" s="461" t="n"/>
      <c r="K57" s="461" t="n"/>
      <c r="L57" s="461" t="n"/>
      <c r="M57" s="461" t="n"/>
      <c r="N57" s="461" t="n"/>
      <c r="O57" s="461" t="n"/>
      <c r="P57" s="461" t="n"/>
      <c r="Q57" s="461" t="n"/>
      <c r="R57" s="461" t="n"/>
      <c r="S57" s="461" t="n"/>
      <c r="T57" s="461" t="n"/>
      <c r="U57" s="495" t="n"/>
    </row>
    <row r="58" ht="15" customFormat="1" customHeight="1" s="2" thickBot="1">
      <c r="A58" s="40" t="n"/>
      <c r="B58" s="12" t="n"/>
      <c r="C58" s="13" t="n"/>
      <c r="D58" s="13" t="n"/>
      <c r="E58" s="13" t="n"/>
      <c r="F58" s="13" t="n"/>
      <c r="G58" s="13" t="n"/>
      <c r="H58" s="12" t="n"/>
      <c r="I58" s="84" t="n"/>
      <c r="J58" s="12" t="n"/>
      <c r="K58" s="12" t="n"/>
      <c r="L58" s="12" t="n"/>
      <c r="M58" s="12" t="n"/>
      <c r="N58" s="12" t="n"/>
      <c r="O58" s="12" t="n"/>
      <c r="P58" s="12" t="n"/>
      <c r="Q58" s="12" t="n"/>
      <c r="R58" s="12" t="n"/>
      <c r="S58" s="12" t="n"/>
      <c r="T58" s="12" t="n"/>
      <c r="U58" s="41" t="n"/>
    </row>
    <row r="59" ht="15" customFormat="1" customHeight="1" s="2" thickBot="1">
      <c r="A59" s="40" t="n"/>
      <c r="B59" s="11" t="inlineStr">
        <is>
          <t xml:space="preserve">Job No. </t>
        </is>
      </c>
      <c r="C59" s="191">
        <f>Title!C4</f>
        <v/>
      </c>
      <c r="D59" s="25" t="n"/>
      <c r="E59" s="183" t="n"/>
      <c r="F59" s="12" t="n"/>
      <c r="G59" s="11" t="inlineStr">
        <is>
          <t xml:space="preserve">Calibrated By. </t>
        </is>
      </c>
      <c r="H59" s="496">
        <f>Title!C3</f>
        <v/>
      </c>
      <c r="I59" s="472" t="n"/>
      <c r="J59" s="12" t="n"/>
      <c r="K59" s="12" t="n"/>
      <c r="L59" s="11" t="inlineStr">
        <is>
          <t xml:space="preserve">Calibration Date. </t>
        </is>
      </c>
      <c r="M59" s="497">
        <f>Title!C9</f>
        <v/>
      </c>
      <c r="N59" s="471" t="n"/>
      <c r="O59" s="472" t="n"/>
      <c r="P59" s="14" t="n"/>
      <c r="Q59" s="11" t="n"/>
      <c r="R59" s="11" t="inlineStr">
        <is>
          <t xml:space="preserve">Bed No. </t>
        </is>
      </c>
      <c r="S59" s="498">
        <f>Title!F3</f>
        <v/>
      </c>
      <c r="T59" s="472" t="n"/>
      <c r="U59" s="85" t="n"/>
    </row>
    <row r="60" ht="15" customFormat="1" customHeight="1" s="2">
      <c r="A60" s="40" t="n"/>
      <c r="B60" s="12" t="n"/>
      <c r="C60" s="13" t="n"/>
      <c r="D60" s="13" t="n"/>
      <c r="E60" s="13" t="n"/>
      <c r="F60" s="11" t="n"/>
      <c r="G60" s="13" t="n"/>
      <c r="H60" s="11" t="n"/>
      <c r="I60" s="11" t="n"/>
      <c r="J60" s="14" t="n"/>
      <c r="K60" s="14" t="n"/>
      <c r="L60" s="14" t="n"/>
      <c r="M60" s="14" t="n"/>
      <c r="N60" s="12" t="n"/>
      <c r="O60" s="14" t="n"/>
      <c r="P60" s="14" t="n"/>
      <c r="Q60" s="14" t="n"/>
      <c r="R60" s="14" t="n"/>
      <c r="S60" s="14" t="n"/>
      <c r="T60" s="14" t="n"/>
      <c r="U60" s="42" t="n"/>
    </row>
    <row r="61" ht="15" customFormat="1" customHeight="1" s="2">
      <c r="A61" s="43" t="inlineStr">
        <is>
          <t>Acceptable Deviation: 0.2% Full Scale.  Adjust if error &gt;80% accepted tolerance.</t>
        </is>
      </c>
      <c r="B61" s="13" t="n"/>
      <c r="C61" s="13" t="n"/>
      <c r="D61" s="13" t="n"/>
      <c r="E61" s="13" t="n"/>
      <c r="F61" s="13" t="n"/>
      <c r="G61" s="86" t="n"/>
      <c r="H61" s="86" t="n"/>
      <c r="I61" s="86" t="n"/>
      <c r="J61" s="13" t="n"/>
      <c r="K61" s="13" t="n"/>
      <c r="L61" s="13" t="n"/>
      <c r="M61" s="13" t="n"/>
      <c r="N61" s="13" t="n"/>
      <c r="O61" s="13" t="n"/>
      <c r="P61" s="13" t="n"/>
      <c r="Q61" s="13" t="n"/>
      <c r="R61" s="13" t="n"/>
      <c r="S61" s="13" t="n"/>
      <c r="T61" s="13" t="n"/>
      <c r="U61" s="44" t="n"/>
    </row>
    <row r="62" ht="15" customFormat="1" customHeight="1" s="2" thickBot="1">
      <c r="A62" s="40" t="n"/>
      <c r="B62" s="84" t="n"/>
      <c r="C62" s="84" t="n"/>
      <c r="D62" s="84" t="n"/>
      <c r="E62" s="84" t="n"/>
      <c r="F62" s="84" t="n"/>
      <c r="G62" s="84" t="n"/>
      <c r="H62" s="84" t="n"/>
      <c r="I62" s="84" t="n"/>
      <c r="J62" s="84" t="n"/>
      <c r="K62" s="84" t="n"/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42" t="n"/>
    </row>
    <row r="63" ht="15" customFormat="1" customHeight="1" s="2" thickBot="1">
      <c r="A63" s="40" t="n"/>
      <c r="B63" s="26" t="inlineStr">
        <is>
          <t>Channel No.</t>
        </is>
      </c>
      <c r="C63" s="26" t="inlineStr">
        <is>
          <t>Channel Name</t>
        </is>
      </c>
      <c r="D63" s="87" t="inlineStr">
        <is>
          <t>Range Min</t>
        </is>
      </c>
      <c r="E63" s="87" t="inlineStr">
        <is>
          <t>Range Max</t>
        </is>
      </c>
      <c r="F63" s="499" t="inlineStr">
        <is>
          <t>Pre-Calibration Set Points</t>
        </is>
      </c>
      <c r="G63" s="476" t="n"/>
      <c r="H63" s="476" t="n"/>
      <c r="I63" s="476" t="n"/>
      <c r="J63" s="477" t="n"/>
      <c r="K63" s="26" t="inlineStr">
        <is>
          <t>Result</t>
        </is>
      </c>
      <c r="L63" s="88" t="inlineStr">
        <is>
          <t>PC Used</t>
        </is>
      </c>
      <c r="M63" s="499" t="inlineStr">
        <is>
          <t>Post-Calibration Set Points</t>
        </is>
      </c>
      <c r="N63" s="476" t="n"/>
      <c r="O63" s="476" t="n"/>
      <c r="P63" s="476" t="n"/>
      <c r="Q63" s="477" t="n"/>
      <c r="R63" s="26" t="inlineStr">
        <is>
          <t>Units</t>
        </is>
      </c>
      <c r="S63" s="89" t="inlineStr">
        <is>
          <t>Tolerance</t>
        </is>
      </c>
      <c r="T63" s="26" t="inlineStr">
        <is>
          <t>Transducer Serial No.</t>
        </is>
      </c>
      <c r="U63" s="42" t="n"/>
    </row>
    <row r="64" ht="15" customFormat="1" customHeight="1" s="2" thickBot="1">
      <c r="A64" s="40" t="n"/>
      <c r="B64" s="337" t="n">
        <v>21</v>
      </c>
      <c r="C64" s="337" t="inlineStr">
        <is>
          <t>PTX21</t>
        </is>
      </c>
      <c r="D64" s="337" t="n">
        <v>0</v>
      </c>
      <c r="E64" s="500" t="n">
        <v>600</v>
      </c>
      <c r="F64" s="163">
        <f>IF(AND(D64&lt;0,E64=0)=TRUE,0.98*D64,IF(AND(D64=0,E64&gt;0)=TRUE,0,IF(D64=-E64,0.98*D64,IF(AND(D64=-20,E64=100)=TRUE,0.98*D64,IF(AND(D64=-35,E64=300)=TRUE,0.98*D64,IF(AND(D64=-100,E64=160)=TRUE,80,IF(AND(D64=-100,E64=900)=TRUE,80,"x")))))))</f>
        <v/>
      </c>
      <c r="G64" s="90">
        <f>IF(AND(D64&lt;0,E64=0)=TRUE,0.75*D64,IF(AND(D64=0,E64&gt;0)=TRUE,0.25*E64,IF(D64=-E64,0.5*D64,IF(AND(D64=-20,E64=100)=TRUE,0,IF(AND(D64=-35,E64=300)=TRUE,0,IF(AND(D64=-100,E64=160)=TRUE,0,IF(AND(D64=-100,E64=900)=TRUE,0,"x")))))))</f>
        <v/>
      </c>
      <c r="H64" s="90">
        <f>IF(AND(D64&lt;0,E64=0)=TRUE,0.5*D64,IF(AND(D64=0,E64&gt;0)=TRUE,0.5*E64,IF(D64=-E64,0,IF(AND(D64=-20,E64=100)=TRUE,0.33*E64,IF(AND(D64=-35,E64=300)=TRUE,0.33*E64,IF(AND(D64=-100,E64=160)=TRUE,0.33*E64,IF(AND(D64=-100,E64=900)=TRUE,0.33*E64,"x")))))))</f>
        <v/>
      </c>
      <c r="I64" s="90">
        <f>IF(AND(D64&lt;0,E64=0)=TRUE,0.25*D64,IF(AND(D64=0,E64&gt;0)=TRUE,0.75*E64,IF(D64=-E64,0.5*E64,IF(AND(D64=-20,E64=100)=TRUE,0.66*E64,IF(AND(D64=-35,E64=300)=TRUE,0.66*E64,IF(AND(D64=-100,E64=160)=TRUE,0.66*E64,IF(AND(D64=-100,E64=900)=TRUE,0.66*E64,"x")))))))</f>
        <v/>
      </c>
      <c r="J64" s="91">
        <f>IF(AND(D64&lt;0,E64=0)=TRUE,0*D64,IF(AND(D64=0,E64&gt;0)=TRUE,0.98*E64,IF(D64=-E64,0.98*E64,IF(AND(D64=-20,E64=100)=TRUE,0.98*E64,IF(AND(D64=-35,E64=300)=TRUE,0.98*E64,IF(AND(D64=-100,E64=160)=TRUE,0.98*E64,IF(AND(D64=-100,E64=900)=TRUE,0.98*E64,"x")))))))</f>
        <v/>
      </c>
      <c r="K64" s="501" t="inlineStr">
        <is>
          <t>Pass</t>
        </is>
      </c>
      <c r="L64" s="502" t="inlineStr">
        <is>
          <t>-</t>
        </is>
      </c>
      <c r="M64" s="92">
        <f>F64</f>
        <v/>
      </c>
      <c r="N64" s="93">
        <f>G64</f>
        <v/>
      </c>
      <c r="O64" s="94">
        <f>H64</f>
        <v/>
      </c>
      <c r="P64" s="93">
        <f>I64</f>
        <v/>
      </c>
      <c r="Q64" s="95">
        <f>J64</f>
        <v/>
      </c>
      <c r="R64" s="503" t="inlineStr">
        <is>
          <t>kPa</t>
        </is>
      </c>
      <c r="S64" s="504">
        <f>IF(D64&lt;E64,(E64-D64)*0.002,"x")</f>
        <v/>
      </c>
      <c r="T64" s="503" t="n">
        <v>3354503</v>
      </c>
      <c r="U64" s="42" t="n"/>
    </row>
    <row r="65" ht="15" customFormat="1" customHeight="1" s="2" thickBot="1">
      <c r="A65" s="40" t="n"/>
      <c r="B65" s="505" t="n"/>
      <c r="C65" s="505" t="n"/>
      <c r="D65" s="505" t="n"/>
      <c r="E65" s="506" t="n"/>
      <c r="F65" s="480" t="n">
        <v>0</v>
      </c>
      <c r="G65" s="481" t="n">
        <v>150.89</v>
      </c>
      <c r="H65" s="481" t="n">
        <v>300.11</v>
      </c>
      <c r="I65" s="481" t="n">
        <v>450.78</v>
      </c>
      <c r="J65" s="482" t="n">
        <v>588.23</v>
      </c>
      <c r="K65" s="505" t="n"/>
      <c r="L65" s="505" t="n"/>
      <c r="M65" s="480" t="n"/>
      <c r="N65" s="481" t="n"/>
      <c r="O65" s="481" t="n"/>
      <c r="P65" s="481" t="n"/>
      <c r="Q65" s="482" t="n"/>
      <c r="R65" s="505" t="n"/>
      <c r="S65" s="507" t="n"/>
      <c r="T65" s="505" t="n"/>
      <c r="U65" s="42" t="n"/>
    </row>
    <row r="66" ht="15" customFormat="1" customHeight="1" s="2" thickBot="1">
      <c r="A66" s="40" t="n"/>
      <c r="B66" s="337" t="n">
        <v>22</v>
      </c>
      <c r="C66" s="337" t="inlineStr">
        <is>
          <t>PTX22</t>
        </is>
      </c>
      <c r="D66" s="337" t="n">
        <v>0</v>
      </c>
      <c r="E66" s="500" t="n">
        <v>600</v>
      </c>
      <c r="F66" s="163">
        <f>IF(AND(D66&lt;0,E66=0)=TRUE,0.98*D66,IF(AND(D66=0,E66&gt;0)=TRUE,0,IF(D66=-E66,0.98*D66,IF(AND(D66=-20,E66=100)=TRUE,0.98*D66,IF(AND(D66=-35,E66=300)=TRUE,0.98*D66,IF(AND(D66=-100,E66=160)=TRUE,80,IF(AND(D66=-100,E66=900)=TRUE,80,"x")))))))</f>
        <v/>
      </c>
      <c r="G66" s="90">
        <f>IF(AND(D66&lt;0,E66=0)=TRUE,0.75*D66,IF(AND(D66=0,E66&gt;0)=TRUE,0.25*E66,IF(D66=-E66,0.5*D66,IF(AND(D66=-20,E66=100)=TRUE,0,IF(AND(D66=-35,E66=300)=TRUE,0,IF(AND(D66=-100,E66=160)=TRUE,0,IF(AND(D66=-100,E66=900)=TRUE,0,"x")))))))</f>
        <v/>
      </c>
      <c r="H66" s="90">
        <f>IF(AND(D66&lt;0,E66=0)=TRUE,0.5*D66,IF(AND(D66=0,E66&gt;0)=TRUE,0.5*E66,IF(D66=-E66,0,IF(AND(D66=-20,E66=100)=TRUE,0.33*E66,IF(AND(D66=-35,E66=300)=TRUE,0.33*E66,IF(AND(D66=-100,E66=160)=TRUE,0.33*E66,IF(AND(D66=-100,E66=900)=TRUE,0.33*E66,"x")))))))</f>
        <v/>
      </c>
      <c r="I66" s="90">
        <f>IF(AND(D66&lt;0,E66=0)=TRUE,0.25*D66,IF(AND(D66=0,E66&gt;0)=TRUE,0.75*E66,IF(D66=-E66,0.5*E66,IF(AND(D66=-20,E66=100)=TRUE,0.66*E66,IF(AND(D66=-35,E66=300)=TRUE,0.66*E66,IF(AND(D66=-100,E66=160)=TRUE,0.66*E66,IF(AND(D66=-100,E66=900)=TRUE,0.66*E66,"x")))))))</f>
        <v/>
      </c>
      <c r="J66" s="91">
        <f>IF(AND(D66&lt;0,E66=0)=TRUE,0*D66,IF(AND(D66=0,E66&gt;0)=TRUE,0.98*E66,IF(D66=-E66,0.98*E66,IF(AND(D66=-20,E66=100)=TRUE,0.98*E66,IF(AND(D66=-35,E66=300)=TRUE,0.98*E66,IF(AND(D66=-100,E66=160)=TRUE,0.98*E66,IF(AND(D66=-100,E66=900)=TRUE,0.98*E66,"x")))))))</f>
        <v/>
      </c>
      <c r="K66" s="501" t="inlineStr">
        <is>
          <t>Pass</t>
        </is>
      </c>
      <c r="L66" s="502" t="inlineStr">
        <is>
          <t>-</t>
        </is>
      </c>
      <c r="M66" s="92">
        <f>F66</f>
        <v/>
      </c>
      <c r="N66" s="93">
        <f>G66</f>
        <v/>
      </c>
      <c r="O66" s="94">
        <f>H66</f>
        <v/>
      </c>
      <c r="P66" s="93">
        <f>I66</f>
        <v/>
      </c>
      <c r="Q66" s="95">
        <f>J66</f>
        <v/>
      </c>
      <c r="R66" s="503" t="inlineStr">
        <is>
          <t>kPa</t>
        </is>
      </c>
      <c r="S66" s="504">
        <f>IF(D66&lt;E66,(E66-D66)*0.002,"x")</f>
        <v/>
      </c>
      <c r="T66" s="503" t="n">
        <v>3351122</v>
      </c>
      <c r="U66" s="42" t="n"/>
    </row>
    <row r="67" ht="15" customFormat="1" customHeight="1" s="2" thickBot="1">
      <c r="A67" s="40" t="n"/>
      <c r="B67" s="505" t="n"/>
      <c r="C67" s="505" t="n"/>
      <c r="D67" s="505" t="n"/>
      <c r="E67" s="506" t="n"/>
      <c r="F67" s="480" t="n">
        <v>0.07000000000000001</v>
      </c>
      <c r="G67" s="480" t="n">
        <v>150.18</v>
      </c>
      <c r="H67" s="480" t="n">
        <v>300</v>
      </c>
      <c r="I67" s="480" t="n">
        <v>450.03</v>
      </c>
      <c r="J67" s="480" t="n">
        <v>588.49</v>
      </c>
      <c r="K67" s="505" t="n"/>
      <c r="L67" s="505" t="n"/>
      <c r="M67" s="480" t="n"/>
      <c r="N67" s="481" t="n"/>
      <c r="O67" s="481" t="n"/>
      <c r="P67" s="481" t="n"/>
      <c r="Q67" s="482" t="n"/>
      <c r="R67" s="505" t="n"/>
      <c r="S67" s="507" t="n"/>
      <c r="T67" s="505" t="n"/>
      <c r="U67" s="42" t="n"/>
    </row>
    <row r="68" ht="15" customFormat="1" customHeight="1" s="2" thickBot="1">
      <c r="A68" s="45" t="n"/>
      <c r="B68" s="337" t="n">
        <v>23</v>
      </c>
      <c r="C68" s="337" t="inlineStr">
        <is>
          <t>PTX23</t>
        </is>
      </c>
      <c r="D68" s="337" t="n">
        <v>0</v>
      </c>
      <c r="E68" s="500" t="n">
        <v>1000</v>
      </c>
      <c r="F68" s="163">
        <f>IF(AND(D68&lt;0,E68=0)=TRUE,0.98*D68,IF(AND(D68=0,E68&gt;0)=TRUE,0,IF(D68=-E68,0.98*D68,IF(AND(D68=-20,E68=100)=TRUE,0.98*D68,IF(AND(D68=-35,E68=300)=TRUE,0.98*D68,IF(AND(D68=-100,E68=160)=TRUE,80,IF(AND(D68=-100,E68=900)=TRUE,80,"x")))))))</f>
        <v/>
      </c>
      <c r="G68" s="90">
        <f>IF(AND(D68&lt;0,E68=0)=TRUE,0.75*D68,IF(AND(D68=0,E68&gt;0)=TRUE,0.25*E68,IF(D68=-E68,0.5*D68,IF(AND(D68=-20,E68=100)=TRUE,0,IF(AND(D68=-35,E68=300)=TRUE,0,IF(AND(D68=-100,E68=160)=TRUE,0,IF(AND(D68=-100,E68=900)=TRUE,0,"x")))))))</f>
        <v/>
      </c>
      <c r="H68" s="90">
        <f>IF(AND(D68&lt;0,E68=0)=TRUE,0.5*D68,IF(AND(D68=0,E68&gt;0)=TRUE,0.5*E68,IF(D68=-E68,0,IF(AND(D68=-20,E68=100)=TRUE,0.33*E68,IF(AND(D68=-35,E68=300)=TRUE,0.33*E68,IF(AND(D68=-100,E68=160)=TRUE,0.33*E68,IF(AND(D68=-100,E68=900)=TRUE,0.33*E68,"x")))))))</f>
        <v/>
      </c>
      <c r="I68" s="90">
        <f>IF(AND(D68&lt;0,E68=0)=TRUE,0.25*D68,IF(AND(D68=0,E68&gt;0)=TRUE,0.75*E68,IF(D68=-E68,0.5*E68,IF(AND(D68=-20,E68=100)=TRUE,0.66*E68,IF(AND(D68=-35,E68=300)=TRUE,0.66*E68,IF(AND(D68=-100,E68=160)=TRUE,0.66*E68,IF(AND(D68=-100,E68=900)=TRUE,0.66*E68,"x")))))))</f>
        <v/>
      </c>
      <c r="J68" s="91">
        <f>IF(AND(D68&lt;0,E68=0)=TRUE,0*D68,IF(AND(D68=0,E68&gt;0)=TRUE,0.98*E68,IF(D68=-E68,0.98*E68,IF(AND(D68=-20,E68=100)=TRUE,0.98*E68,IF(AND(D68=-35,E68=300)=TRUE,0.98*E68,IF(AND(D68=-100,E68=160)=TRUE,0.98*E68,IF(AND(D68=-100,E68=900)=TRUE,0.98*E68,"x")))))))</f>
        <v/>
      </c>
      <c r="K68" s="501" t="inlineStr">
        <is>
          <t>Pass</t>
        </is>
      </c>
      <c r="L68" s="502" t="inlineStr">
        <is>
          <t>-</t>
        </is>
      </c>
      <c r="M68" s="92">
        <f>F68</f>
        <v/>
      </c>
      <c r="N68" s="93">
        <f>G68</f>
        <v/>
      </c>
      <c r="O68" s="94">
        <f>H68</f>
        <v/>
      </c>
      <c r="P68" s="93">
        <f>I68</f>
        <v/>
      </c>
      <c r="Q68" s="95">
        <f>J68</f>
        <v/>
      </c>
      <c r="R68" s="503" t="inlineStr">
        <is>
          <t>kPa</t>
        </is>
      </c>
      <c r="S68" s="504">
        <f>IF(D68&lt;E68,(E68-D68)*0.002,"x")</f>
        <v/>
      </c>
      <c r="T68" s="503" t="n">
        <v>5431372</v>
      </c>
      <c r="U68" s="42" t="n"/>
    </row>
    <row r="69" ht="15" customFormat="1" customHeight="1" s="2" thickBot="1">
      <c r="A69" s="45" t="n"/>
      <c r="B69" s="505" t="n"/>
      <c r="C69" s="505" t="n"/>
      <c r="D69" s="505" t="n"/>
      <c r="E69" s="506" t="n"/>
      <c r="F69" s="480" t="n">
        <v>0</v>
      </c>
      <c r="G69" s="480" t="n">
        <v>250</v>
      </c>
      <c r="H69" s="480" t="n">
        <v>500.12</v>
      </c>
      <c r="I69" s="480" t="n">
        <v>750.0599999999999</v>
      </c>
      <c r="J69" s="480" t="n">
        <v>980.1799999999999</v>
      </c>
      <c r="K69" s="505" t="n"/>
      <c r="L69" s="505" t="n"/>
      <c r="M69" s="480" t="n"/>
      <c r="N69" s="481" t="n"/>
      <c r="O69" s="481" t="n"/>
      <c r="P69" s="481" t="n"/>
      <c r="Q69" s="482" t="n"/>
      <c r="R69" s="505" t="n"/>
      <c r="S69" s="507" t="n"/>
      <c r="T69" s="505" t="n"/>
      <c r="U69" s="42" t="n"/>
    </row>
    <row r="70" ht="15" customFormat="1" customHeight="1" s="2" thickBot="1">
      <c r="A70" s="45" t="n"/>
      <c r="B70" s="337" t="n">
        <v>24</v>
      </c>
      <c r="C70" s="337" t="inlineStr">
        <is>
          <t>PTX24</t>
        </is>
      </c>
      <c r="D70" s="337" t="n">
        <v>-35</v>
      </c>
      <c r="E70" s="500" t="n">
        <v>300</v>
      </c>
      <c r="F70" s="163">
        <f>IF(AND(D70&lt;0,E70=0)=TRUE,0.98*D70,IF(AND(D70=0,E70&gt;0)=TRUE,0,IF(D70=-E70,0.98*D70,IF(AND(D70=-20,E70=100)=TRUE,0.98*D70,IF(AND(D70=-35,E70=300)=TRUE,0.98*D70,IF(AND(D70=-100,E70=160)=TRUE,80,IF(AND(D70=-100,E70=900)=TRUE,80,"x")))))))</f>
        <v/>
      </c>
      <c r="G70" s="90">
        <f>IF(AND(D70&lt;0,E70=0)=TRUE,0.75*D70,IF(AND(D70=0,E70&gt;0)=TRUE,0.25*E70,IF(D70=-E70,0.5*D70,IF(AND(D70=-20,E70=100)=TRUE,0,IF(AND(D70=-35,E70=300)=TRUE,0,IF(AND(D70=-100,E70=160)=TRUE,0,IF(AND(D70=-100,E70=900)=TRUE,0,"x")))))))</f>
        <v/>
      </c>
      <c r="H70" s="90">
        <f>IF(AND(D70&lt;0,E70=0)=TRUE,0.5*D70,IF(AND(D70=0,E70&gt;0)=TRUE,0.5*E70,IF(D70=-E70,0,IF(AND(D70=-20,E70=100)=TRUE,0.33*E70,IF(AND(D70=-35,E70=300)=TRUE,0.33*E70,IF(AND(D70=-100,E70=160)=TRUE,0.33*E70,IF(AND(D70=-100,E70=900)=TRUE,0.33*E70,"x")))))))</f>
        <v/>
      </c>
      <c r="I70" s="90">
        <f>IF(AND(D70&lt;0,E70=0)=TRUE,0.25*D70,IF(AND(D70=0,E70&gt;0)=TRUE,0.75*E70,IF(D70=-E70,0.5*E70,IF(AND(D70=-20,E70=100)=TRUE,0.66*E70,IF(AND(D70=-35,E70=300)=TRUE,0.66*E70,IF(AND(D70=-100,E70=160)=TRUE,0.66*E70,IF(AND(D70=-100,E70=900)=TRUE,0.66*E70,"x")))))))</f>
        <v/>
      </c>
      <c r="J70" s="91">
        <f>IF(AND(D70&lt;0,E70=0)=TRUE,0*D70,IF(AND(D70=0,E70&gt;0)=TRUE,0.98*E70,IF(D70=-E70,0.98*E70,IF(AND(D70=-20,E70=100)=TRUE,0.98*E70,IF(AND(D70=-35,E70=300)=TRUE,0.98*E70,IF(AND(D70=-100,E70=160)=TRUE,0.98*E70,IF(AND(D70=-100,E70=900)=TRUE,0.98*E70,"x")))))))</f>
        <v/>
      </c>
      <c r="K70" s="501" t="inlineStr">
        <is>
          <t>Pass</t>
        </is>
      </c>
      <c r="L70" s="502" t="inlineStr">
        <is>
          <t>-</t>
        </is>
      </c>
      <c r="M70" s="92">
        <f>F70</f>
        <v/>
      </c>
      <c r="N70" s="93">
        <f>G70</f>
        <v/>
      </c>
      <c r="O70" s="94">
        <f>H70</f>
        <v/>
      </c>
      <c r="P70" s="93">
        <f>I70</f>
        <v/>
      </c>
      <c r="Q70" s="95">
        <f>J70</f>
        <v/>
      </c>
      <c r="R70" s="503" t="inlineStr">
        <is>
          <t>kPa</t>
        </is>
      </c>
      <c r="S70" s="504">
        <f>IF(D70&lt;E70,(E70-D70)*0.002,"x")</f>
        <v/>
      </c>
      <c r="T70" s="503" t="n">
        <v>3355060</v>
      </c>
      <c r="U70" s="42" t="n"/>
    </row>
    <row r="71" ht="15" customFormat="1" customHeight="1" s="2" thickBot="1">
      <c r="A71" s="45" t="n"/>
      <c r="B71" s="505" t="n"/>
      <c r="C71" s="505" t="n"/>
      <c r="D71" s="505" t="n"/>
      <c r="E71" s="506" t="n"/>
      <c r="F71" s="480" t="n">
        <v>-34.3</v>
      </c>
      <c r="G71" s="480" t="n">
        <v>0.37</v>
      </c>
      <c r="H71" s="480" t="n">
        <v>99.48</v>
      </c>
      <c r="I71" s="480" t="n">
        <v>198.04</v>
      </c>
      <c r="J71" s="480" t="n">
        <v>294</v>
      </c>
      <c r="K71" s="505" t="n"/>
      <c r="L71" s="505" t="n"/>
      <c r="M71" s="480" t="n"/>
      <c r="N71" s="481" t="n"/>
      <c r="O71" s="481" t="n"/>
      <c r="P71" s="481" t="n"/>
      <c r="Q71" s="482" t="n"/>
      <c r="R71" s="505" t="n"/>
      <c r="S71" s="507" t="n"/>
      <c r="T71" s="505" t="n"/>
      <c r="U71" s="42" t="n"/>
    </row>
    <row r="72" ht="15" customFormat="1" customHeight="1" s="2" thickBot="1">
      <c r="A72" s="45" t="n"/>
      <c r="B72" s="337" t="n">
        <v>25</v>
      </c>
      <c r="C72" s="337" t="inlineStr">
        <is>
          <t>PTX25</t>
        </is>
      </c>
      <c r="D72" s="337" t="n">
        <v>0</v>
      </c>
      <c r="E72" s="500" t="n">
        <v>300</v>
      </c>
      <c r="F72" s="163">
        <f>IF(AND(D72&lt;0,E72=0)=TRUE,0.98*D72,IF(AND(D72=0,E72&gt;0)=TRUE,0,IF(D72=-E72,0.98*D72,IF(AND(D72=-20,E72=100)=TRUE,0.98*D72,IF(AND(D72=-35,E72=300)=TRUE,0.98*D72,IF(AND(D72=-100,E72=160)=TRUE,80,IF(AND(D72=-100,E72=900)=TRUE,80,"x")))))))</f>
        <v/>
      </c>
      <c r="G72" s="90">
        <f>IF(AND(D72&lt;0,E72=0)=TRUE,0.75*D72,IF(AND(D72=0,E72&gt;0)=TRUE,0.25*E72,IF(D72=-E72,0.5*D72,IF(AND(D72=-20,E72=100)=TRUE,0,IF(AND(D72=-35,E72=300)=TRUE,0,IF(AND(D72=-100,E72=160)=TRUE,0,IF(AND(D72=-100,E72=900)=TRUE,0,"x")))))))</f>
        <v/>
      </c>
      <c r="H72" s="90">
        <f>IF(AND(D72&lt;0,E72=0)=TRUE,0.5*D72,IF(AND(D72=0,E72&gt;0)=TRUE,0.5*E72,IF(D72=-E72,0,IF(AND(D72=-20,E72=100)=TRUE,0.33*E72,IF(AND(D72=-35,E72=300)=TRUE,0.33*E72,IF(AND(D72=-100,E72=160)=TRUE,0.33*E72,IF(AND(D72=-100,E72=900)=TRUE,0.33*E72,"x")))))))</f>
        <v/>
      </c>
      <c r="I72" s="90">
        <f>IF(AND(D72&lt;0,E72=0)=TRUE,0.25*D72,IF(AND(D72=0,E72&gt;0)=TRUE,0.75*E72,IF(D72=-E72,0.5*E72,IF(AND(D72=-20,E72=100)=TRUE,0.66*E72,IF(AND(D72=-35,E72=300)=TRUE,0.66*E72,IF(AND(D72=-100,E72=160)=TRUE,0.66*E72,IF(AND(D72=-100,E72=900)=TRUE,0.66*E72,"x")))))))</f>
        <v/>
      </c>
      <c r="J72" s="91">
        <f>IF(AND(D72&lt;0,E72=0)=TRUE,0*D72,IF(AND(D72=0,E72&gt;0)=TRUE,0.98*E72,IF(D72=-E72,0.98*E72,IF(AND(D72=-20,E72=100)=TRUE,0.98*E72,IF(AND(D72=-35,E72=300)=TRUE,0.98*E72,IF(AND(D72=-100,E72=160)=TRUE,0.98*E72,IF(AND(D72=-100,E72=900)=TRUE,0.98*E72,"x")))))))</f>
        <v/>
      </c>
      <c r="K72" s="501" t="inlineStr">
        <is>
          <t>Pass</t>
        </is>
      </c>
      <c r="L72" s="502" t="inlineStr">
        <is>
          <t>-</t>
        </is>
      </c>
      <c r="M72" s="92">
        <f>F72</f>
        <v/>
      </c>
      <c r="N72" s="93">
        <f>G72</f>
        <v/>
      </c>
      <c r="O72" s="94">
        <f>H72</f>
        <v/>
      </c>
      <c r="P72" s="93">
        <f>I72</f>
        <v/>
      </c>
      <c r="Q72" s="95">
        <f>J72</f>
        <v/>
      </c>
      <c r="R72" s="503" t="inlineStr">
        <is>
          <t>kPa</t>
        </is>
      </c>
      <c r="S72" s="504">
        <f>IF(D72&lt;E72,(E72-D72)*0.002,"x")</f>
        <v/>
      </c>
      <c r="T72" s="503" t="n">
        <v>3355411</v>
      </c>
      <c r="U72" s="42" t="n"/>
    </row>
    <row r="73" ht="13" customHeight="1" thickBot="1">
      <c r="A73" s="45" t="n"/>
      <c r="B73" s="505" t="n"/>
      <c r="C73" s="505" t="n"/>
      <c r="D73" s="505" t="n"/>
      <c r="E73" s="506" t="n"/>
      <c r="F73" s="480" t="n">
        <v>0.03</v>
      </c>
      <c r="G73" s="481" t="n">
        <v>75.11</v>
      </c>
      <c r="H73" s="481" t="n">
        <v>150.01</v>
      </c>
      <c r="I73" s="481" t="n">
        <v>225.01</v>
      </c>
      <c r="J73" s="482" t="n">
        <v>294.08</v>
      </c>
      <c r="K73" s="505" t="n"/>
      <c r="L73" s="505" t="n"/>
      <c r="M73" s="480" t="n"/>
      <c r="N73" s="481" t="n"/>
      <c r="O73" s="481" t="n"/>
      <c r="P73" s="481" t="n"/>
      <c r="Q73" s="482" t="n"/>
      <c r="R73" s="505" t="n"/>
      <c r="S73" s="507" t="n"/>
      <c r="T73" s="505" t="n"/>
      <c r="U73" s="42" t="n"/>
    </row>
    <row r="74" ht="13" customHeight="1" thickBot="1">
      <c r="A74" s="45" t="n"/>
      <c r="B74" s="337" t="n">
        <v>26</v>
      </c>
      <c r="C74" s="337" t="inlineStr">
        <is>
          <t>PTX26</t>
        </is>
      </c>
      <c r="D74" s="337" t="n">
        <v>0</v>
      </c>
      <c r="E74" s="500" t="n">
        <v>300</v>
      </c>
      <c r="F74" s="163">
        <f>IF(AND(D74&lt;0,E74=0)=TRUE,0.98*D74,IF(AND(D74=0,E74&gt;0)=TRUE,0,IF(D74=-E74,0.98*D74,IF(AND(D74=-20,E74=100)=TRUE,0.98*D74,IF(AND(D74=-35,E74=300)=TRUE,0.98*D74,IF(AND(D74=-100,E74=160)=TRUE,80,IF(AND(D74=-100,E74=900)=TRUE,80,"x")))))))</f>
        <v/>
      </c>
      <c r="G74" s="90">
        <f>IF(AND(D74&lt;0,E74=0)=TRUE,0.75*D74,IF(AND(D74=0,E74&gt;0)=TRUE,0.25*E74,IF(D74=-E74,0.5*D74,IF(AND(D74=-20,E74=100)=TRUE,0,IF(AND(D74=-35,E74=300)=TRUE,0,IF(AND(D74=-100,E74=160)=TRUE,0,IF(AND(D74=-100,E74=900)=TRUE,0,"x")))))))</f>
        <v/>
      </c>
      <c r="H74" s="90">
        <f>IF(AND(D74&lt;0,E74=0)=TRUE,0.5*D74,IF(AND(D74=0,E74&gt;0)=TRUE,0.5*E74,IF(D74=-E74,0,IF(AND(D74=-20,E74=100)=TRUE,0.33*E74,IF(AND(D74=-35,E74=300)=TRUE,0.33*E74,IF(AND(D74=-100,E74=160)=TRUE,0.33*E74,IF(AND(D74=-100,E74=900)=TRUE,0.33*E74,"x")))))))</f>
        <v/>
      </c>
      <c r="I74" s="90">
        <f>IF(AND(D74&lt;0,E74=0)=TRUE,0.25*D74,IF(AND(D74=0,E74&gt;0)=TRUE,0.75*E74,IF(D74=-E74,0.5*E74,IF(AND(D74=-20,E74=100)=TRUE,0.66*E74,IF(AND(D74=-35,E74=300)=TRUE,0.66*E74,IF(AND(D74=-100,E74=160)=TRUE,0.66*E74,IF(AND(D74=-100,E74=900)=TRUE,0.66*E74,"x")))))))</f>
        <v/>
      </c>
      <c r="J74" s="91">
        <f>IF(AND(D74&lt;0,E74=0)=TRUE,0*D74,IF(AND(D74=0,E74&gt;0)=TRUE,0.98*E74,IF(D74=-E74,0.98*E74,IF(AND(D74=-20,E74=100)=TRUE,0.98*E74,IF(AND(D74=-35,E74=300)=TRUE,0.98*E74,IF(AND(D74=-100,E74=160)=TRUE,0.98*E74,IF(AND(D74=-100,E74=900)=TRUE,0.98*E74,"x")))))))</f>
        <v/>
      </c>
      <c r="K74" s="501" t="inlineStr">
        <is>
          <t>Pass</t>
        </is>
      </c>
      <c r="L74" s="502" t="inlineStr">
        <is>
          <t>-</t>
        </is>
      </c>
      <c r="M74" s="92">
        <f>F74</f>
        <v/>
      </c>
      <c r="N74" s="93">
        <f>G74</f>
        <v/>
      </c>
      <c r="O74" s="94">
        <f>H74</f>
        <v/>
      </c>
      <c r="P74" s="93">
        <f>I74</f>
        <v/>
      </c>
      <c r="Q74" s="95">
        <f>J74</f>
        <v/>
      </c>
      <c r="R74" s="503" t="inlineStr">
        <is>
          <t>kPa</t>
        </is>
      </c>
      <c r="S74" s="504">
        <f>IF(D74&lt;E74,(E74-D74)*0.002,"x")</f>
        <v/>
      </c>
      <c r="T74" s="503" t="n">
        <v>3355041</v>
      </c>
      <c r="U74" s="42" t="n"/>
    </row>
    <row r="75" ht="13" customHeight="1" thickBot="1">
      <c r="A75" s="45" t="n"/>
      <c r="B75" s="505" t="n"/>
      <c r="C75" s="505" t="n"/>
      <c r="D75" s="505" t="n"/>
      <c r="E75" s="506" t="n"/>
      <c r="F75" s="480" t="n">
        <v>0</v>
      </c>
      <c r="G75" s="480" t="n">
        <v>74.65000000000001</v>
      </c>
      <c r="H75" s="480" t="n">
        <v>149.67</v>
      </c>
      <c r="I75" s="480" t="n">
        <v>224.72</v>
      </c>
      <c r="J75" s="480" t="n">
        <v>293.61</v>
      </c>
      <c r="K75" s="505" t="n"/>
      <c r="L75" s="505" t="n"/>
      <c r="M75" s="480" t="n"/>
      <c r="N75" s="481" t="n"/>
      <c r="O75" s="481" t="n"/>
      <c r="P75" s="481" t="n"/>
      <c r="Q75" s="482" t="n"/>
      <c r="R75" s="505" t="n"/>
      <c r="S75" s="507" t="n"/>
      <c r="T75" s="505" t="n"/>
      <c r="U75" s="42" t="n"/>
    </row>
    <row r="76" ht="13" customHeight="1" thickBot="1">
      <c r="A76" s="45" t="n"/>
      <c r="B76" s="337" t="n">
        <v>27</v>
      </c>
      <c r="C76" s="337" t="inlineStr">
        <is>
          <t>PTX27</t>
        </is>
      </c>
      <c r="D76" s="337" t="n">
        <v>0</v>
      </c>
      <c r="E76" s="500" t="n">
        <v>300</v>
      </c>
      <c r="F76" s="163">
        <f>IF(AND(D76&lt;0,E76=0)=TRUE,0.98*D76,IF(AND(D76=0,E76&gt;0)=TRUE,0,IF(D76=-E76,0.98*D76,IF(AND(D76=-20,E76=100)=TRUE,0.98*D76,IF(AND(D76=-35,E76=300)=TRUE,0.98*D76,IF(AND(D76=-100,E76=160)=TRUE,80,IF(AND(D76=-100,E76=900)=TRUE,80,"x")))))))</f>
        <v/>
      </c>
      <c r="G76" s="90">
        <f>IF(AND(D76&lt;0,E76=0)=TRUE,0.75*D76,IF(AND(D76=0,E76&gt;0)=TRUE,0.25*E76,IF(D76=-E76,0.5*D76,IF(AND(D76=-20,E76=100)=TRUE,0,IF(AND(D76=-35,E76=300)=TRUE,0,IF(AND(D76=-100,E76=160)=TRUE,0,IF(AND(D76=-100,E76=900)=TRUE,0,"x")))))))</f>
        <v/>
      </c>
      <c r="H76" s="90">
        <f>IF(AND(D76&lt;0,E76=0)=TRUE,0.5*D76,IF(AND(D76=0,E76&gt;0)=TRUE,0.5*E76,IF(D76=-E76,0,IF(AND(D76=-20,E76=100)=TRUE,0.33*E76,IF(AND(D76=-35,E76=300)=TRUE,0.33*E76,IF(AND(D76=-100,E76=160)=TRUE,0.33*E76,IF(AND(D76=-100,E76=900)=TRUE,0.33*E76,"x")))))))</f>
        <v/>
      </c>
      <c r="I76" s="90">
        <f>IF(AND(D76&lt;0,E76=0)=TRUE,0.25*D76,IF(AND(D76=0,E76&gt;0)=TRUE,0.75*E76,IF(D76=-E76,0.5*E76,IF(AND(D76=-20,E76=100)=TRUE,0.66*E76,IF(AND(D76=-35,E76=300)=TRUE,0.66*E76,IF(AND(D76=-100,E76=160)=TRUE,0.66*E76,IF(AND(D76=-100,E76=900)=TRUE,0.66*E76,"x")))))))</f>
        <v/>
      </c>
      <c r="J76" s="91">
        <f>IF(AND(D76&lt;0,E76=0)=TRUE,0*D76,IF(AND(D76=0,E76&gt;0)=TRUE,0.98*E76,IF(D76=-E76,0.98*E76,IF(AND(D76=-20,E76=100)=TRUE,0.98*E76,IF(AND(D76=-35,E76=300)=TRUE,0.98*E76,IF(AND(D76=-100,E76=160)=TRUE,0.98*E76,IF(AND(D76=-100,E76=900)=TRUE,0.98*E76,"x")))))))</f>
        <v/>
      </c>
      <c r="K76" s="501" t="inlineStr">
        <is>
          <t>Pass</t>
        </is>
      </c>
      <c r="L76" s="502" t="inlineStr">
        <is>
          <t>-</t>
        </is>
      </c>
      <c r="M76" s="92">
        <f>F76</f>
        <v/>
      </c>
      <c r="N76" s="93">
        <f>G76</f>
        <v/>
      </c>
      <c r="O76" s="94">
        <f>H76</f>
        <v/>
      </c>
      <c r="P76" s="93">
        <f>I76</f>
        <v/>
      </c>
      <c r="Q76" s="95">
        <f>J76</f>
        <v/>
      </c>
      <c r="R76" s="503" t="inlineStr">
        <is>
          <t>kPa</t>
        </is>
      </c>
      <c r="S76" s="504">
        <f>IF(D76&lt;E76,(E76-D76)*0.002,"x")</f>
        <v/>
      </c>
      <c r="T76" s="503" t="n">
        <v>335310</v>
      </c>
      <c r="U76" s="42" t="n"/>
    </row>
    <row r="77" ht="13" customHeight="1" thickBot="1">
      <c r="A77" s="45" t="n"/>
      <c r="B77" s="505" t="n"/>
      <c r="C77" s="505" t="n"/>
      <c r="D77" s="505" t="n"/>
      <c r="E77" s="506" t="n"/>
      <c r="F77" s="480" t="n">
        <v>0</v>
      </c>
      <c r="G77" s="480" t="n">
        <v>74.89</v>
      </c>
      <c r="H77" s="480" t="n">
        <v>149.86</v>
      </c>
      <c r="I77" s="480" t="n">
        <v>224.72</v>
      </c>
      <c r="J77" s="480" t="n">
        <v>293.79</v>
      </c>
      <c r="K77" s="505" t="n"/>
      <c r="L77" s="505" t="n"/>
      <c r="M77" s="480" t="n"/>
      <c r="N77" s="481" t="n"/>
      <c r="O77" s="481" t="n"/>
      <c r="P77" s="481" t="n"/>
      <c r="Q77" s="482" t="n"/>
      <c r="R77" s="505" t="n"/>
      <c r="S77" s="507" t="n"/>
      <c r="T77" s="505" t="n"/>
      <c r="U77" s="42" t="n"/>
    </row>
    <row r="78" ht="13" customHeight="1" thickBot="1">
      <c r="A78" s="45" t="n"/>
      <c r="B78" s="337" t="n">
        <v>28</v>
      </c>
      <c r="C78" s="337" t="inlineStr">
        <is>
          <t>PTX28</t>
        </is>
      </c>
      <c r="D78" s="337" t="n">
        <v>0</v>
      </c>
      <c r="E78" s="500" t="n">
        <v>300</v>
      </c>
      <c r="F78" s="163">
        <f>IF(AND(D78&lt;0,E78=0)=TRUE,0.98*D78,IF(AND(D78=0,E78&gt;0)=TRUE,0,IF(D78=-E78,0.98*D78,IF(AND(D78=-20,E78=100)=TRUE,0.98*D78,IF(AND(D78=-35,E78=300)=TRUE,0.98*D78,IF(AND(D78=-100,E78=160)=TRUE,80,IF(AND(D78=-100,E78=900)=TRUE,80,"x")))))))</f>
        <v/>
      </c>
      <c r="G78" s="90">
        <f>IF(AND(D78&lt;0,E78=0)=TRUE,0.75*D78,IF(AND(D78=0,E78&gt;0)=TRUE,0.25*E78,IF(D78=-E78,0.5*D78,IF(AND(D78=-20,E78=100)=TRUE,0,IF(AND(D78=-35,E78=300)=TRUE,0,IF(AND(D78=-100,E78=160)=TRUE,0,IF(AND(D78=-100,E78=900)=TRUE,0,"x")))))))</f>
        <v/>
      </c>
      <c r="H78" s="90">
        <f>IF(AND(D78&lt;0,E78=0)=TRUE,0.5*D78,IF(AND(D78=0,E78&gt;0)=TRUE,0.5*E78,IF(D78=-E78,0,IF(AND(D78=-20,E78=100)=TRUE,0.33*E78,IF(AND(D78=-35,E78=300)=TRUE,0.33*E78,IF(AND(D78=-100,E78=160)=TRUE,0.33*E78,IF(AND(D78=-100,E78=900)=TRUE,0.33*E78,"x")))))))</f>
        <v/>
      </c>
      <c r="I78" s="90">
        <f>IF(AND(D78&lt;0,E78=0)=TRUE,0.25*D78,IF(AND(D78=0,E78&gt;0)=TRUE,0.75*E78,IF(D78=-E78,0.5*E78,IF(AND(D78=-20,E78=100)=TRUE,0.66*E78,IF(AND(D78=-35,E78=300)=TRUE,0.66*E78,IF(AND(D78=-100,E78=160)=TRUE,0.66*E78,IF(AND(D78=-100,E78=900)=TRUE,0.66*E78,"x")))))))</f>
        <v/>
      </c>
      <c r="J78" s="91">
        <f>IF(AND(D78&lt;0,E78=0)=TRUE,0*D78,IF(AND(D78=0,E78&gt;0)=TRUE,0.98*E78,IF(D78=-E78,0.98*E78,IF(AND(D78=-20,E78=100)=TRUE,0.98*E78,IF(AND(D78=-35,E78=300)=TRUE,0.98*E78,IF(AND(D78=-100,E78=160)=TRUE,0.98*E78,IF(AND(D78=-100,E78=900)=TRUE,0.98*E78,"x")))))))</f>
        <v/>
      </c>
      <c r="K78" s="501" t="inlineStr">
        <is>
          <t>Pass</t>
        </is>
      </c>
      <c r="L78" s="502" t="inlineStr">
        <is>
          <t>-</t>
        </is>
      </c>
      <c r="M78" s="92">
        <f>F78</f>
        <v/>
      </c>
      <c r="N78" s="93">
        <f>G78</f>
        <v/>
      </c>
      <c r="O78" s="94">
        <f>H78</f>
        <v/>
      </c>
      <c r="P78" s="93">
        <f>I78</f>
        <v/>
      </c>
      <c r="Q78" s="95">
        <f>J78</f>
        <v/>
      </c>
      <c r="R78" s="503" t="inlineStr">
        <is>
          <t>kPa</t>
        </is>
      </c>
      <c r="S78" s="504">
        <f>IF(D78&lt;E78,(E78-D78)*0.002,"x")</f>
        <v/>
      </c>
      <c r="T78" s="503" t="n">
        <v>3353512</v>
      </c>
      <c r="U78" s="42" t="n"/>
    </row>
    <row r="79" ht="13" customHeight="1" thickBot="1">
      <c r="A79" s="45" t="n"/>
      <c r="B79" s="505" t="n"/>
      <c r="C79" s="505" t="n"/>
      <c r="D79" s="505" t="n"/>
      <c r="E79" s="506" t="n"/>
      <c r="F79" s="480" t="n">
        <v>0</v>
      </c>
      <c r="G79" s="480" t="n">
        <v>75.01000000000001</v>
      </c>
      <c r="H79" s="480" t="n">
        <v>150</v>
      </c>
      <c r="I79" s="480" t="n">
        <v>224.96</v>
      </c>
      <c r="J79" s="480" t="n">
        <v>293.94</v>
      </c>
      <c r="K79" s="505" t="n"/>
      <c r="L79" s="505" t="n"/>
      <c r="M79" s="480" t="n"/>
      <c r="N79" s="481" t="n"/>
      <c r="O79" s="481" t="n"/>
      <c r="P79" s="481" t="n"/>
      <c r="Q79" s="482" t="n"/>
      <c r="R79" s="505" t="n"/>
      <c r="S79" s="507" t="n"/>
      <c r="T79" s="505" t="n"/>
      <c r="U79" s="42" t="n"/>
    </row>
    <row r="80" ht="13" customHeight="1" thickBot="1">
      <c r="A80" s="45" t="n"/>
      <c r="B80" s="337" t="n">
        <v>29</v>
      </c>
      <c r="C80" s="337" t="inlineStr">
        <is>
          <t>PTX29</t>
        </is>
      </c>
      <c r="D80" s="337" t="n">
        <v>0</v>
      </c>
      <c r="E80" s="500" t="n">
        <v>300</v>
      </c>
      <c r="F80" s="163">
        <f>IF(AND(D80&lt;0,E80=0)=TRUE,0.98*D80,IF(AND(D80=0,E80&gt;0)=TRUE,0,IF(D80=-E80,0.98*D80,IF(AND(D80=-20,E80=100)=TRUE,0.98*D80,IF(AND(D80=-35,E80=300)=TRUE,0.98*D80,IF(AND(D80=-100,E80=160)=TRUE,80,IF(AND(D80=-100,E80=900)=TRUE,80,"x")))))))</f>
        <v/>
      </c>
      <c r="G80" s="90">
        <f>IF(AND(D80&lt;0,E80=0)=TRUE,0.75*D80,IF(AND(D80=0,E80&gt;0)=TRUE,0.25*E80,IF(D80=-E80,0.5*D80,IF(AND(D80=-20,E80=100)=TRUE,0,IF(AND(D80=-35,E80=300)=TRUE,0,IF(AND(D80=-100,E80=160)=TRUE,0,IF(AND(D80=-100,E80=900)=TRUE,0,"x")))))))</f>
        <v/>
      </c>
      <c r="H80" s="90">
        <f>IF(AND(D80&lt;0,E80=0)=TRUE,0.5*D80,IF(AND(D80=0,E80&gt;0)=TRUE,0.5*E80,IF(D80=-E80,0,IF(AND(D80=-20,E80=100)=TRUE,0.33*E80,IF(AND(D80=-35,E80=300)=TRUE,0.33*E80,IF(AND(D80=-100,E80=160)=TRUE,0.33*E80,IF(AND(D80=-100,E80=900)=TRUE,0.33*E80,"x")))))))</f>
        <v/>
      </c>
      <c r="I80" s="90">
        <f>IF(AND(D80&lt;0,E80=0)=TRUE,0.25*D80,IF(AND(D80=0,E80&gt;0)=TRUE,0.75*E80,IF(D80=-E80,0.5*E80,IF(AND(D80=-20,E80=100)=TRUE,0.66*E80,IF(AND(D80=-35,E80=300)=TRUE,0.66*E80,IF(AND(D80=-100,E80=160)=TRUE,0.66*E80,IF(AND(D80=-100,E80=900)=TRUE,0.66*E80,"x")))))))</f>
        <v/>
      </c>
      <c r="J80" s="91">
        <f>IF(AND(D80&lt;0,E80=0)=TRUE,0*D80,IF(AND(D80=0,E80&gt;0)=TRUE,0.98*E80,IF(D80=-E80,0.98*E80,IF(AND(D80=-20,E80=100)=TRUE,0.98*E80,IF(AND(D80=-35,E80=300)=TRUE,0.98*E80,IF(AND(D80=-100,E80=160)=TRUE,0.98*E80,IF(AND(D80=-100,E80=900)=TRUE,0.98*E80,"x")))))))</f>
        <v/>
      </c>
      <c r="K80" s="501" t="inlineStr">
        <is>
          <t>Pass</t>
        </is>
      </c>
      <c r="L80" s="502" t="inlineStr">
        <is>
          <t>-</t>
        </is>
      </c>
      <c r="M80" s="92">
        <f>F80</f>
        <v/>
      </c>
      <c r="N80" s="93">
        <f>G80</f>
        <v/>
      </c>
      <c r="O80" s="94">
        <f>H80</f>
        <v/>
      </c>
      <c r="P80" s="93">
        <f>I80</f>
        <v/>
      </c>
      <c r="Q80" s="95">
        <f>J80</f>
        <v/>
      </c>
      <c r="R80" s="503" t="inlineStr">
        <is>
          <t>kPa</t>
        </is>
      </c>
      <c r="S80" s="504">
        <f>IF(D80&lt;E80,(E80-D80)*0.002,"x")</f>
        <v/>
      </c>
      <c r="T80" s="503" t="n">
        <v>3355027</v>
      </c>
      <c r="U80" s="42" t="n"/>
    </row>
    <row r="81" ht="13" customHeight="1" thickBot="1">
      <c r="A81" s="45" t="n"/>
      <c r="B81" s="505" t="n"/>
      <c r="C81" s="505" t="n"/>
      <c r="D81" s="505" t="n"/>
      <c r="E81" s="506" t="n"/>
      <c r="F81" s="480" t="n">
        <v>0</v>
      </c>
      <c r="G81" s="480" t="n">
        <v>75</v>
      </c>
      <c r="H81" s="480" t="n">
        <v>149.954</v>
      </c>
      <c r="I81" s="480" t="n">
        <v>224.92</v>
      </c>
      <c r="J81" s="480" t="n">
        <v>293.84</v>
      </c>
      <c r="K81" s="505" t="n"/>
      <c r="L81" s="505" t="n"/>
      <c r="M81" s="480" t="n"/>
      <c r="N81" s="481" t="n"/>
      <c r="O81" s="481" t="n"/>
      <c r="P81" s="481" t="n"/>
      <c r="Q81" s="482" t="n"/>
      <c r="R81" s="505" t="n"/>
      <c r="S81" s="507" t="n"/>
      <c r="T81" s="505" t="n"/>
      <c r="U81" s="42" t="n"/>
    </row>
    <row r="82" ht="13" customHeight="1" thickBot="1">
      <c r="A82" s="45" t="n"/>
      <c r="B82" s="337" t="n">
        <v>30</v>
      </c>
      <c r="C82" s="337" t="inlineStr">
        <is>
          <t>PTX30</t>
        </is>
      </c>
      <c r="D82" s="337" t="n">
        <v>0</v>
      </c>
      <c r="E82" s="500" t="n">
        <v>600</v>
      </c>
      <c r="F82" s="163">
        <f>IF(AND(D82&lt;0,E82=0)=TRUE,0.98*D82,IF(AND(D82=0,E82&gt;0)=TRUE,0,IF(D82=-E82,0.98*D82,IF(AND(D82=-20,E82=100)=TRUE,0.98*D82,IF(AND(D82=-35,E82=300)=TRUE,0.98*D82,IF(AND(D82=-100,E82=160)=TRUE,80,IF(AND(D82=-100,E82=900)=TRUE,80,"x")))))))</f>
        <v/>
      </c>
      <c r="G82" s="90">
        <f>IF(AND(D82&lt;0,E82=0)=TRUE,0.75*D82,IF(AND(D82=0,E82&gt;0)=TRUE,0.25*E82,IF(D82=-E82,0.5*D82,IF(AND(D82=-20,E82=100)=TRUE,0,IF(AND(D82=-35,E82=300)=TRUE,0,IF(AND(D82=-100,E82=160)=TRUE,0,IF(AND(D82=-100,E82=900)=TRUE,0,"x")))))))</f>
        <v/>
      </c>
      <c r="H82" s="90">
        <f>IF(AND(D82&lt;0,E82=0)=TRUE,0.5*D82,IF(AND(D82=0,E82&gt;0)=TRUE,0.5*E82,IF(D82=-E82,0,IF(AND(D82=-20,E82=100)=TRUE,0.33*E82,IF(AND(D82=-35,E82=300)=TRUE,0.33*E82,IF(AND(D82=-100,E82=160)=TRUE,0.33*E82,IF(AND(D82=-100,E82=900)=TRUE,0.33*E82,"x")))))))</f>
        <v/>
      </c>
      <c r="I82" s="90">
        <f>IF(AND(D82&lt;0,E82=0)=TRUE,0.25*D82,IF(AND(D82=0,E82&gt;0)=TRUE,0.75*E82,IF(D82=-E82,0.5*E82,IF(AND(D82=-20,E82=100)=TRUE,0.66*E82,IF(AND(D82=-35,E82=300)=TRUE,0.66*E82,IF(AND(D82=-100,E82=160)=TRUE,0.66*E82,IF(AND(D82=-100,E82=900)=TRUE,0.66*E82,"x")))))))</f>
        <v/>
      </c>
      <c r="J82" s="91">
        <f>IF(AND(D82&lt;0,E82=0)=TRUE,0*D82,IF(AND(D82=0,E82&gt;0)=TRUE,0.98*E82,IF(D82=-E82,0.98*E82,IF(AND(D82=-20,E82=100)=TRUE,0.98*E82,IF(AND(D82=-35,E82=300)=TRUE,0.98*E82,IF(AND(D82=-100,E82=160)=TRUE,0.98*E82,IF(AND(D82=-100,E82=900)=TRUE,0.98*E82,"x")))))))</f>
        <v/>
      </c>
      <c r="K82" s="501" t="inlineStr">
        <is>
          <t>Pass</t>
        </is>
      </c>
      <c r="L82" s="502" t="inlineStr">
        <is>
          <t>-</t>
        </is>
      </c>
      <c r="M82" s="92">
        <f>F82</f>
        <v/>
      </c>
      <c r="N82" s="93">
        <f>G82</f>
        <v/>
      </c>
      <c r="O82" s="94">
        <f>H82</f>
        <v/>
      </c>
      <c r="P82" s="93">
        <f>I82</f>
        <v/>
      </c>
      <c r="Q82" s="95">
        <f>J82</f>
        <v/>
      </c>
      <c r="R82" s="503" t="inlineStr">
        <is>
          <t>kPa</t>
        </is>
      </c>
      <c r="S82" s="504">
        <f>IF(D82&lt;E82,(E82-D82)*0.002,"x")</f>
        <v/>
      </c>
      <c r="T82" s="503" t="n">
        <v>3466199</v>
      </c>
      <c r="U82" s="42" t="n"/>
    </row>
    <row r="83" ht="13" customHeight="1" thickBot="1">
      <c r="A83" s="45" t="n"/>
      <c r="B83" s="505" t="n"/>
      <c r="C83" s="505" t="n"/>
      <c r="D83" s="505" t="n"/>
      <c r="E83" s="506" t="n"/>
      <c r="F83" s="480" t="n">
        <v>0.5600000000000001</v>
      </c>
      <c r="G83" s="481" t="n">
        <v>150.86</v>
      </c>
      <c r="H83" s="481" t="n">
        <v>300.03</v>
      </c>
      <c r="I83" s="481" t="n">
        <v>450.63</v>
      </c>
      <c r="J83" s="482" t="n">
        <v>588.03</v>
      </c>
      <c r="K83" s="505" t="n"/>
      <c r="L83" s="505" t="n"/>
      <c r="M83" s="480" t="n"/>
      <c r="N83" s="481" t="n"/>
      <c r="O83" s="481" t="n"/>
      <c r="P83" s="481" t="n"/>
      <c r="Q83" s="482" t="n"/>
      <c r="R83" s="505" t="n"/>
      <c r="S83" s="507" t="n"/>
      <c r="T83" s="505" t="n"/>
      <c r="U83" s="42" t="n"/>
    </row>
    <row r="84" ht="13" customHeight="1" thickBot="1">
      <c r="A84" s="45" t="n"/>
      <c r="B84" s="337" t="n">
        <v>31</v>
      </c>
      <c r="C84" s="337" t="inlineStr">
        <is>
          <t>PTX31</t>
        </is>
      </c>
      <c r="D84" s="337" t="n">
        <v>0</v>
      </c>
      <c r="E84" s="500" t="n">
        <v>0</v>
      </c>
      <c r="F84" s="163">
        <f>IF(AND(D84&lt;0,E84=0)=TRUE,0.98*D84,IF(AND(D84=0,E84&gt;0)=TRUE,0,IF(D84=-E84,0.98*D84,IF(AND(D84=-20,E84=100)=TRUE,0.98*D84,IF(AND(D84=-35,E84=300)=TRUE,0.98*D84,IF(AND(D84=-100,E84=160)=TRUE,80,IF(AND(D84=-100,E84=900)=TRUE,80,"x")))))))</f>
        <v/>
      </c>
      <c r="G84" s="90">
        <f>IF(AND(D84&lt;0,E84=0)=TRUE,0.75*D84,IF(AND(D84=0,E84&gt;0)=TRUE,0.25*E84,IF(D84=-E84,0.5*D84,IF(AND(D84=-20,E84=100)=TRUE,0,IF(AND(D84=-35,E84=300)=TRUE,0,IF(AND(D84=-100,E84=160)=TRUE,0,IF(AND(D84=-100,E84=900)=TRUE,0,"x")))))))</f>
        <v/>
      </c>
      <c r="H84" s="90">
        <f>IF(AND(D84&lt;0,E84=0)=TRUE,0.5*D84,IF(AND(D84=0,E84&gt;0)=TRUE,0.5*E84,IF(D84=-E84,0,IF(AND(D84=-20,E84=100)=TRUE,0.33*E84,IF(AND(D84=-35,E84=300)=TRUE,0.33*E84,IF(AND(D84=-100,E84=160)=TRUE,0.33*E84,IF(AND(D84=-100,E84=900)=TRUE,0.33*E84,"x")))))))</f>
        <v/>
      </c>
      <c r="I84" s="90">
        <f>IF(AND(D84&lt;0,E84=0)=TRUE,0.25*D84,IF(AND(D84=0,E84&gt;0)=TRUE,0.75*E84,IF(D84=-E84,0.5*E84,IF(AND(D84=-20,E84=100)=TRUE,0.66*E84,IF(AND(D84=-35,E84=300)=TRUE,0.66*E84,IF(AND(D84=-100,E84=160)=TRUE,0.66*E84,IF(AND(D84=-100,E84=900)=TRUE,0.66*E84,"x")))))))</f>
        <v/>
      </c>
      <c r="J84" s="91">
        <f>IF(AND(D84&lt;0,E84=0)=TRUE,0*D84,IF(AND(D84=0,E84&gt;0)=TRUE,0.98*E84,IF(D84=-E84,0.98*E84,IF(AND(D84=-20,E84=100)=TRUE,0.98*E84,IF(AND(D84=-35,E84=300)=TRUE,0.98*E84,IF(AND(D84=-100,E84=160)=TRUE,0.98*E84,IF(AND(D84=-100,E84=900)=TRUE,0.98*E84,"x")))))))</f>
        <v/>
      </c>
      <c r="K84" s="501" t="inlineStr">
        <is>
          <t>Pass</t>
        </is>
      </c>
      <c r="L84" s="502" t="inlineStr">
        <is>
          <t>-</t>
        </is>
      </c>
      <c r="M84" s="92">
        <f>F84</f>
        <v/>
      </c>
      <c r="N84" s="93">
        <f>G84</f>
        <v/>
      </c>
      <c r="O84" s="94">
        <f>H84</f>
        <v/>
      </c>
      <c r="P84" s="93">
        <f>I84</f>
        <v/>
      </c>
      <c r="Q84" s="95">
        <f>J84</f>
        <v/>
      </c>
      <c r="R84" s="503" t="inlineStr">
        <is>
          <t>kPa</t>
        </is>
      </c>
      <c r="S84" s="504">
        <f>IF(D84&lt;E84,(E84-D84)*0.002,"x")</f>
        <v/>
      </c>
      <c r="T84" s="503" t="n"/>
      <c r="U84" s="42" t="n"/>
    </row>
    <row r="85" ht="13" customHeight="1" thickBot="1">
      <c r="A85" s="45" t="n"/>
      <c r="B85" s="505" t="n"/>
      <c r="C85" s="505" t="n"/>
      <c r="D85" s="505" t="n"/>
      <c r="E85" s="506" t="n"/>
      <c r="F85" s="480" t="n"/>
      <c r="G85" s="481" t="n"/>
      <c r="H85" s="481" t="n"/>
      <c r="I85" s="481" t="n"/>
      <c r="J85" s="482" t="n"/>
      <c r="K85" s="505" t="n"/>
      <c r="L85" s="505" t="n"/>
      <c r="M85" s="480" t="n"/>
      <c r="N85" s="481" t="n"/>
      <c r="O85" s="481" t="n"/>
      <c r="P85" s="481" t="n"/>
      <c r="Q85" s="482" t="n"/>
      <c r="R85" s="505" t="n"/>
      <c r="S85" s="507" t="n"/>
      <c r="T85" s="505" t="n"/>
      <c r="U85" s="42" t="n"/>
    </row>
    <row r="86" ht="13" customHeight="1" thickBot="1">
      <c r="A86" s="45" t="n"/>
      <c r="B86" s="337" t="n">
        <v>32</v>
      </c>
      <c r="C86" s="337" t="inlineStr">
        <is>
          <t>PTX32</t>
        </is>
      </c>
      <c r="D86" s="337" t="n">
        <v>0</v>
      </c>
      <c r="E86" s="500" t="n">
        <v>0</v>
      </c>
      <c r="F86" s="163">
        <f>IF(AND(D86&lt;0,E86=0)=TRUE,0.98*D86,IF(AND(D86=0,E86&gt;0)=TRUE,0,IF(D86=-E86,0.98*D86,IF(AND(D86=-20,E86=100)=TRUE,0.98*D86,IF(AND(D86=-35,E86=300)=TRUE,0.98*D86,IF(AND(D86=-100,E86=160)=TRUE,80,IF(AND(D86=-100,E86=900)=TRUE,80,"x")))))))</f>
        <v/>
      </c>
      <c r="G86" s="90">
        <f>IF(AND(D86&lt;0,E86=0)=TRUE,0.75*D86,IF(AND(D86=0,E86&gt;0)=TRUE,0.25*E86,IF(D86=-E86,0.5*D86,IF(AND(D86=-20,E86=100)=TRUE,0,IF(AND(D86=-35,E86=300)=TRUE,0,IF(AND(D86=-100,E86=160)=TRUE,0,IF(AND(D86=-100,E86=900)=TRUE,0,"x")))))))</f>
        <v/>
      </c>
      <c r="H86" s="90">
        <f>IF(AND(D86&lt;0,E86=0)=TRUE,0.5*D86,IF(AND(D86=0,E86&gt;0)=TRUE,0.5*E86,IF(D86=-E86,0,IF(AND(D86=-20,E86=100)=TRUE,0.33*E86,IF(AND(D86=-35,E86=300)=TRUE,0.33*E86,IF(AND(D86=-100,E86=160)=TRUE,0.33*E86,IF(AND(D86=-100,E86=900)=TRUE,0.33*E86,"x")))))))</f>
        <v/>
      </c>
      <c r="I86" s="90">
        <f>IF(AND(D86&lt;0,E86=0)=TRUE,0.25*D86,IF(AND(D86=0,E86&gt;0)=TRUE,0.75*E86,IF(D86=-E86,0.5*E86,IF(AND(D86=-20,E86=100)=TRUE,0.66*E86,IF(AND(D86=-35,E86=300)=TRUE,0.66*E86,IF(AND(D86=-100,E86=160)=TRUE,0.66*E86,IF(AND(D86=-100,E86=900)=TRUE,0.66*E86,"x")))))))</f>
        <v/>
      </c>
      <c r="J86" s="91">
        <f>IF(AND(D86&lt;0,E86=0)=TRUE,0*D86,IF(AND(D86=0,E86&gt;0)=TRUE,0.98*E86,IF(D86=-E86,0.98*E86,IF(AND(D86=-20,E86=100)=TRUE,0.98*E86,IF(AND(D86=-35,E86=300)=TRUE,0.98*E86,IF(AND(D86=-100,E86=160)=TRUE,0.98*E86,IF(AND(D86=-100,E86=900)=TRUE,0.98*E86,"x")))))))</f>
        <v/>
      </c>
      <c r="K86" s="501" t="inlineStr">
        <is>
          <t>Pass</t>
        </is>
      </c>
      <c r="L86" s="502" t="inlineStr">
        <is>
          <t>-</t>
        </is>
      </c>
      <c r="M86" s="92">
        <f>F86</f>
        <v/>
      </c>
      <c r="N86" s="93">
        <f>G86</f>
        <v/>
      </c>
      <c r="O86" s="94">
        <f>H86</f>
        <v/>
      </c>
      <c r="P86" s="93">
        <f>I86</f>
        <v/>
      </c>
      <c r="Q86" s="95">
        <f>J86</f>
        <v/>
      </c>
      <c r="R86" s="503" t="inlineStr">
        <is>
          <t>kPa</t>
        </is>
      </c>
      <c r="S86" s="504">
        <f>IF(D86&lt;E86,(E86-D86)*0.002,"x")</f>
        <v/>
      </c>
      <c r="T86" s="503" t="n"/>
      <c r="U86" s="42" t="n"/>
    </row>
    <row r="87" ht="13" customHeight="1" thickBot="1">
      <c r="A87" s="45" t="n"/>
      <c r="B87" s="505" t="n"/>
      <c r="C87" s="505" t="n"/>
      <c r="D87" s="505" t="n"/>
      <c r="E87" s="506" t="n"/>
      <c r="F87" s="480" t="n"/>
      <c r="G87" s="481" t="n"/>
      <c r="H87" s="481" t="n"/>
      <c r="I87" s="481" t="n"/>
      <c r="J87" s="482" t="n"/>
      <c r="K87" s="505" t="n"/>
      <c r="L87" s="505" t="n"/>
      <c r="M87" s="480" t="n"/>
      <c r="N87" s="481" t="n"/>
      <c r="O87" s="481" t="n"/>
      <c r="P87" s="481" t="n"/>
      <c r="Q87" s="482" t="n"/>
      <c r="R87" s="505" t="n"/>
      <c r="S87" s="507" t="n"/>
      <c r="T87" s="505" t="n"/>
      <c r="U87" s="42" t="n"/>
    </row>
    <row r="88" ht="13" customHeight="1" thickBot="1">
      <c r="A88" s="45" t="n"/>
      <c r="B88" s="337" t="n">
        <v>33</v>
      </c>
      <c r="C88" s="337" t="inlineStr">
        <is>
          <t>PTX33</t>
        </is>
      </c>
      <c r="D88" s="337" t="n">
        <v>0</v>
      </c>
      <c r="E88" s="500" t="n">
        <v>0</v>
      </c>
      <c r="F88" s="163">
        <f>IF(AND(D88&lt;0,E88=0)=TRUE,0.98*D88,IF(AND(D88=0,E88&gt;0)=TRUE,0,IF(D88=-E88,0.98*D88,IF(AND(D88=-20,E88=100)=TRUE,0.98*D88,IF(AND(D88=-35,E88=300)=TRUE,0.98*D88,IF(AND(D88=-100,E88=160)=TRUE,80,IF(AND(D88=-100,E88=900)=TRUE,80,"x")))))))</f>
        <v/>
      </c>
      <c r="G88" s="90">
        <f>IF(AND(D88&lt;0,E88=0)=TRUE,0.75*D88,IF(AND(D88=0,E88&gt;0)=TRUE,0.25*E88,IF(D88=-E88,0.5*D88,IF(AND(D88=-20,E88=100)=TRUE,0,IF(AND(D88=-35,E88=300)=TRUE,0,IF(AND(D88=-100,E88=160)=TRUE,0,IF(AND(D88=-100,E88=900)=TRUE,0,"x")))))))</f>
        <v/>
      </c>
      <c r="H88" s="90">
        <f>IF(AND(D88&lt;0,E88=0)=TRUE,0.5*D88,IF(AND(D88=0,E88&gt;0)=TRUE,0.5*E88,IF(D88=-E88,0,IF(AND(D88=-20,E88=100)=TRUE,0.33*E88,IF(AND(D88=-35,E88=300)=TRUE,0.33*E88,IF(AND(D88=-100,E88=160)=TRUE,0.33*E88,IF(AND(D88=-100,E88=900)=TRUE,0.33*E88,"x")))))))</f>
        <v/>
      </c>
      <c r="I88" s="90">
        <f>IF(AND(D88&lt;0,E88=0)=TRUE,0.25*D88,IF(AND(D88=0,E88&gt;0)=TRUE,0.75*E88,IF(D88=-E88,0.5*E88,IF(AND(D88=-20,E88=100)=TRUE,0.66*E88,IF(AND(D88=-35,E88=300)=TRUE,0.66*E88,IF(AND(D88=-100,E88=160)=TRUE,0.66*E88,IF(AND(D88=-100,E88=900)=TRUE,0.66*E88,"x")))))))</f>
        <v/>
      </c>
      <c r="J88" s="91">
        <f>IF(AND(D88&lt;0,E88=0)=TRUE,0*D88,IF(AND(D88=0,E88&gt;0)=TRUE,0.98*E88,IF(D88=-E88,0.98*E88,IF(AND(D88=-20,E88=100)=TRUE,0.98*E88,IF(AND(D88=-35,E88=300)=TRUE,0.98*E88,IF(AND(D88=-100,E88=160)=TRUE,0.98*E88,IF(AND(D88=-100,E88=900)=TRUE,0.98*E88,"x")))))))</f>
        <v/>
      </c>
      <c r="K88" s="501" t="inlineStr">
        <is>
          <t>Pass</t>
        </is>
      </c>
      <c r="L88" s="502" t="inlineStr">
        <is>
          <t>-</t>
        </is>
      </c>
      <c r="M88" s="92">
        <f>F88</f>
        <v/>
      </c>
      <c r="N88" s="93">
        <f>G88</f>
        <v/>
      </c>
      <c r="O88" s="94">
        <f>H88</f>
        <v/>
      </c>
      <c r="P88" s="93">
        <f>I88</f>
        <v/>
      </c>
      <c r="Q88" s="95">
        <f>J88</f>
        <v/>
      </c>
      <c r="R88" s="503" t="inlineStr">
        <is>
          <t>kPa</t>
        </is>
      </c>
      <c r="S88" s="504">
        <f>IF(D88&lt;E88,(E88-D88)*0.002,"x")</f>
        <v/>
      </c>
      <c r="T88" s="503" t="n"/>
      <c r="U88" s="42" t="n"/>
    </row>
    <row r="89" ht="13" customHeight="1" thickBot="1">
      <c r="A89" s="45" t="n"/>
      <c r="B89" s="505" t="n"/>
      <c r="C89" s="505" t="n"/>
      <c r="D89" s="505" t="n"/>
      <c r="E89" s="506" t="n"/>
      <c r="F89" s="480" t="n"/>
      <c r="G89" s="481" t="n"/>
      <c r="H89" s="481" t="n"/>
      <c r="I89" s="481" t="n"/>
      <c r="J89" s="482" t="n"/>
      <c r="K89" s="505" t="n"/>
      <c r="L89" s="505" t="n"/>
      <c r="M89" s="480" t="n"/>
      <c r="N89" s="481" t="n"/>
      <c r="O89" s="481" t="n"/>
      <c r="P89" s="481" t="n"/>
      <c r="Q89" s="482" t="n"/>
      <c r="R89" s="505" t="n"/>
      <c r="S89" s="507" t="n"/>
      <c r="T89" s="505" t="n"/>
      <c r="U89" s="42" t="n"/>
    </row>
    <row r="90" ht="13" customHeight="1" thickBot="1">
      <c r="A90" s="45" t="n"/>
      <c r="B90" s="337" t="n">
        <v>34</v>
      </c>
      <c r="C90" s="337" t="inlineStr">
        <is>
          <t>PTX34</t>
        </is>
      </c>
      <c r="D90" s="337" t="n">
        <v>0</v>
      </c>
      <c r="E90" s="500" t="n">
        <v>0</v>
      </c>
      <c r="F90" s="163">
        <f>IF(AND(D90&lt;0,E90=0)=TRUE,0.98*D90,IF(AND(D90=0,E90&gt;0)=TRUE,0,IF(D90=-E90,0.98*D90,IF(AND(D90=-20,E90=100)=TRUE,0.98*D90,IF(AND(D90=-35,E90=300)=TRUE,0.98*D90,IF(AND(D90=-100,E90=160)=TRUE,80,IF(AND(D90=-100,E90=900)=TRUE,80,"x")))))))</f>
        <v/>
      </c>
      <c r="G90" s="90">
        <f>IF(AND(D90&lt;0,E90=0)=TRUE,0.75*D90,IF(AND(D90=0,E90&gt;0)=TRUE,0.25*E90,IF(D90=-E90,0.5*D90,IF(AND(D90=-20,E90=100)=TRUE,0,IF(AND(D90=-35,E90=300)=TRUE,0,IF(AND(D90=-100,E90=160)=TRUE,0,IF(AND(D90=-100,E90=900)=TRUE,0,"x")))))))</f>
        <v/>
      </c>
      <c r="H90" s="90">
        <f>IF(AND(D90&lt;0,E90=0)=TRUE,0.5*D90,IF(AND(D90=0,E90&gt;0)=TRUE,0.5*E90,IF(D90=-E90,0,IF(AND(D90=-20,E90=100)=TRUE,0.33*E90,IF(AND(D90=-35,E90=300)=TRUE,0.33*E90,IF(AND(D90=-100,E90=160)=TRUE,0.33*E90,IF(AND(D90=-100,E90=900)=TRUE,0.33*E90,"x")))))))</f>
        <v/>
      </c>
      <c r="I90" s="90">
        <f>IF(AND(D90&lt;0,E90=0)=TRUE,0.25*D90,IF(AND(D90=0,E90&gt;0)=TRUE,0.75*E90,IF(D90=-E90,0.5*E90,IF(AND(D90=-20,E90=100)=TRUE,0.66*E90,IF(AND(D90=-35,E90=300)=TRUE,0.66*E90,IF(AND(D90=-100,E90=160)=TRUE,0.66*E90,IF(AND(D90=-100,E90=900)=TRUE,0.66*E90,"x")))))))</f>
        <v/>
      </c>
      <c r="J90" s="91">
        <f>IF(AND(D90&lt;0,E90=0)=TRUE,0*D90,IF(AND(D90=0,E90&gt;0)=TRUE,0.98*E90,IF(D90=-E90,0.98*E90,IF(AND(D90=-20,E90=100)=TRUE,0.98*E90,IF(AND(D90=-35,E90=300)=TRUE,0.98*E90,IF(AND(D90=-100,E90=160)=TRUE,0.98*E90,IF(AND(D90=-100,E90=900)=TRUE,0.98*E90,"x")))))))</f>
        <v/>
      </c>
      <c r="K90" s="501" t="inlineStr">
        <is>
          <t>Pass</t>
        </is>
      </c>
      <c r="L90" s="502" t="inlineStr">
        <is>
          <t>-</t>
        </is>
      </c>
      <c r="M90" s="92">
        <f>F90</f>
        <v/>
      </c>
      <c r="N90" s="93">
        <f>G90</f>
        <v/>
      </c>
      <c r="O90" s="94">
        <f>H90</f>
        <v/>
      </c>
      <c r="P90" s="93">
        <f>I90</f>
        <v/>
      </c>
      <c r="Q90" s="95">
        <f>J90</f>
        <v/>
      </c>
      <c r="R90" s="503" t="inlineStr">
        <is>
          <t>kPa</t>
        </is>
      </c>
      <c r="S90" s="504">
        <f>IF(D90&lt;E90,(E90-D90)*0.002,"x")</f>
        <v/>
      </c>
      <c r="T90" s="503" t="n"/>
      <c r="U90" s="42" t="n"/>
    </row>
    <row r="91" ht="13" customHeight="1" thickBot="1">
      <c r="A91" s="45" t="n"/>
      <c r="B91" s="505" t="n"/>
      <c r="C91" s="505" t="n"/>
      <c r="D91" s="505" t="n"/>
      <c r="E91" s="506" t="n"/>
      <c r="F91" s="480" t="n"/>
      <c r="G91" s="481" t="n"/>
      <c r="H91" s="481" t="n"/>
      <c r="I91" s="481" t="n"/>
      <c r="J91" s="482" t="n"/>
      <c r="K91" s="505" t="n"/>
      <c r="L91" s="505" t="n"/>
      <c r="M91" s="480" t="n"/>
      <c r="N91" s="481" t="n"/>
      <c r="O91" s="481" t="n"/>
      <c r="P91" s="481" t="n"/>
      <c r="Q91" s="482" t="n"/>
      <c r="R91" s="505" t="n"/>
      <c r="S91" s="507" t="n"/>
      <c r="T91" s="505" t="n"/>
      <c r="U91" s="42" t="n"/>
    </row>
    <row r="92" ht="13" customHeight="1" thickBot="1">
      <c r="A92" s="45" t="n"/>
      <c r="B92" s="337" t="n">
        <v>35</v>
      </c>
      <c r="C92" s="337" t="inlineStr">
        <is>
          <t>PTX35</t>
        </is>
      </c>
      <c r="D92" s="337" t="n">
        <v>0</v>
      </c>
      <c r="E92" s="500" t="n">
        <v>0</v>
      </c>
      <c r="F92" s="163">
        <f>IF(AND(D92&lt;0,E92=0)=TRUE,0.98*D92,IF(AND(D92=0,E92&gt;0)=TRUE,0,IF(D92=-E92,0.98*D92,IF(AND(D92=-20,E92=100)=TRUE,0.98*D92,IF(AND(D92=-35,E92=300)=TRUE,0.98*D92,IF(AND(D92=-100,E92=160)=TRUE,80,IF(AND(D92=-100,E92=900)=TRUE,80,"x")))))))</f>
        <v/>
      </c>
      <c r="G92" s="90">
        <f>IF(AND(D92&lt;0,E92=0)=TRUE,0.75*D92,IF(AND(D92=0,E92&gt;0)=TRUE,0.25*E92,IF(D92=-E92,0.5*D92,IF(AND(D92=-20,E92=100)=TRUE,0,IF(AND(D92=-35,E92=300)=TRUE,0,IF(AND(D92=-100,E92=160)=TRUE,0,IF(AND(D92=-100,E92=900)=TRUE,0,"x")))))))</f>
        <v/>
      </c>
      <c r="H92" s="90">
        <f>IF(AND(D92&lt;0,E92=0)=TRUE,0.5*D92,IF(AND(D92=0,E92&gt;0)=TRUE,0.5*E92,IF(D92=-E92,0,IF(AND(D92=-20,E92=100)=TRUE,0.33*E92,IF(AND(D92=-35,E92=300)=TRUE,0.33*E92,IF(AND(D92=-100,E92=160)=TRUE,0.33*E92,IF(AND(D92=-100,E92=900)=TRUE,0.33*E92,"x")))))))</f>
        <v/>
      </c>
      <c r="I92" s="90">
        <f>IF(AND(D92&lt;0,E92=0)=TRUE,0.25*D92,IF(AND(D92=0,E92&gt;0)=TRUE,0.75*E92,IF(D92=-E92,0.5*E92,IF(AND(D92=-20,E92=100)=TRUE,0.66*E92,IF(AND(D92=-35,E92=300)=TRUE,0.66*E92,IF(AND(D92=-100,E92=160)=TRUE,0.66*E92,IF(AND(D92=-100,E92=900)=TRUE,0.66*E92,"x")))))))</f>
        <v/>
      </c>
      <c r="J92" s="91">
        <f>IF(AND(D92&lt;0,E92=0)=TRUE,0*D92,IF(AND(D92=0,E92&gt;0)=TRUE,0.98*E92,IF(D92=-E92,0.98*E92,IF(AND(D92=-20,E92=100)=TRUE,0.98*E92,IF(AND(D92=-35,E92=300)=TRUE,0.98*E92,IF(AND(D92=-100,E92=160)=TRUE,0.98*E92,IF(AND(D92=-100,E92=900)=TRUE,0.98*E92,"x")))))))</f>
        <v/>
      </c>
      <c r="K92" s="501" t="inlineStr">
        <is>
          <t>Pass</t>
        </is>
      </c>
      <c r="L92" s="502" t="inlineStr">
        <is>
          <t>-</t>
        </is>
      </c>
      <c r="M92" s="92">
        <f>F92</f>
        <v/>
      </c>
      <c r="N92" s="93">
        <f>G92</f>
        <v/>
      </c>
      <c r="O92" s="94">
        <f>H92</f>
        <v/>
      </c>
      <c r="P92" s="93">
        <f>I92</f>
        <v/>
      </c>
      <c r="Q92" s="95">
        <f>J92</f>
        <v/>
      </c>
      <c r="R92" s="503" t="inlineStr">
        <is>
          <t>kPa</t>
        </is>
      </c>
      <c r="S92" s="504">
        <f>IF(D92&lt;E92,(E92-D92)*0.002,"x")</f>
        <v/>
      </c>
      <c r="T92" s="503" t="n"/>
      <c r="U92" s="42" t="n"/>
    </row>
    <row r="93" ht="13" customHeight="1" thickBot="1">
      <c r="A93" s="45" t="n"/>
      <c r="B93" s="505" t="n"/>
      <c r="C93" s="505" t="n"/>
      <c r="D93" s="505" t="n"/>
      <c r="E93" s="506" t="n"/>
      <c r="F93" s="480" t="n"/>
      <c r="G93" s="481" t="n"/>
      <c r="H93" s="481" t="n"/>
      <c r="I93" s="481" t="n"/>
      <c r="J93" s="482" t="n"/>
      <c r="K93" s="505" t="n"/>
      <c r="L93" s="505" t="n"/>
      <c r="M93" s="480" t="n"/>
      <c r="N93" s="481" t="n"/>
      <c r="O93" s="481" t="n"/>
      <c r="P93" s="481" t="n"/>
      <c r="Q93" s="482" t="n"/>
      <c r="R93" s="505" t="n"/>
      <c r="S93" s="507" t="n"/>
      <c r="T93" s="505" t="n"/>
      <c r="U93" s="42" t="n"/>
    </row>
    <row r="94" ht="13" customHeight="1" thickBot="1">
      <c r="A94" s="45" t="n"/>
      <c r="B94" s="337" t="n">
        <v>36</v>
      </c>
      <c r="C94" s="337" t="inlineStr">
        <is>
          <t>PTX36</t>
        </is>
      </c>
      <c r="D94" s="337" t="n">
        <v>0</v>
      </c>
      <c r="E94" s="500" t="n">
        <v>0</v>
      </c>
      <c r="F94" s="163">
        <f>IF(AND(D94&lt;0,E94=0)=TRUE,0.98*D94,IF(AND(D94=0,E94&gt;0)=TRUE,0,IF(D94=-E94,0.98*D94,IF(AND(D94=-20,E94=100)=TRUE,0.98*D94,IF(AND(D94=-35,E94=300)=TRUE,0.98*D94,IF(AND(D94=-100,E94=160)=TRUE,80,IF(AND(D94=-100,E94=900)=TRUE,80,"x")))))))</f>
        <v/>
      </c>
      <c r="G94" s="90">
        <f>IF(AND(D94&lt;0,E94=0)=TRUE,0.75*D94,IF(AND(D94=0,E94&gt;0)=TRUE,0.25*E94,IF(D94=-E94,0.5*D94,IF(AND(D94=-20,E94=100)=TRUE,0,IF(AND(D94=-35,E94=300)=TRUE,0,IF(AND(D94=-100,E94=160)=TRUE,0,IF(AND(D94=-100,E94=900)=TRUE,0,"x")))))))</f>
        <v/>
      </c>
      <c r="H94" s="90">
        <f>IF(AND(D94&lt;0,E94=0)=TRUE,0.5*D94,IF(AND(D94=0,E94&gt;0)=TRUE,0.5*E94,IF(D94=-E94,0,IF(AND(D94=-20,E94=100)=TRUE,0.33*E94,IF(AND(D94=-35,E94=300)=TRUE,0.33*E94,IF(AND(D94=-100,E94=160)=TRUE,0.33*E94,IF(AND(D94=-100,E94=900)=TRUE,0.33*E94,"x")))))))</f>
        <v/>
      </c>
      <c r="I94" s="90">
        <f>IF(AND(D94&lt;0,E94=0)=TRUE,0.25*D94,IF(AND(D94=0,E94&gt;0)=TRUE,0.75*E94,IF(D94=-E94,0.5*E94,IF(AND(D94=-20,E94=100)=TRUE,0.66*E94,IF(AND(D94=-35,E94=300)=TRUE,0.66*E94,IF(AND(D94=-100,E94=160)=TRUE,0.66*E94,IF(AND(D94=-100,E94=900)=TRUE,0.66*E94,"x")))))))</f>
        <v/>
      </c>
      <c r="J94" s="91">
        <f>IF(AND(D94&lt;0,E94=0)=TRUE,0*D94,IF(AND(D94=0,E94&gt;0)=TRUE,0.98*E94,IF(D94=-E94,0.98*E94,IF(AND(D94=-20,E94=100)=TRUE,0.98*E94,IF(AND(D94=-35,E94=300)=TRUE,0.98*E94,IF(AND(D94=-100,E94=160)=TRUE,0.98*E94,IF(AND(D94=-100,E94=900)=TRUE,0.98*E94,"x")))))))</f>
        <v/>
      </c>
      <c r="K94" s="501" t="inlineStr">
        <is>
          <t>Pass</t>
        </is>
      </c>
      <c r="L94" s="502" t="inlineStr">
        <is>
          <t>-</t>
        </is>
      </c>
      <c r="M94" s="92">
        <f>F94</f>
        <v/>
      </c>
      <c r="N94" s="93">
        <f>G94</f>
        <v/>
      </c>
      <c r="O94" s="94">
        <f>H94</f>
        <v/>
      </c>
      <c r="P94" s="93">
        <f>I94</f>
        <v/>
      </c>
      <c r="Q94" s="95">
        <f>J94</f>
        <v/>
      </c>
      <c r="R94" s="503" t="inlineStr">
        <is>
          <t>kPa</t>
        </is>
      </c>
      <c r="S94" s="504">
        <f>IF(D94&lt;E94,(E94-D94)*0.002,"x")</f>
        <v/>
      </c>
      <c r="T94" s="503" t="n"/>
      <c r="U94" s="42" t="n"/>
    </row>
    <row r="95" ht="13" customHeight="1" thickBot="1">
      <c r="A95" s="45" t="n"/>
      <c r="B95" s="505" t="n"/>
      <c r="C95" s="505" t="n"/>
      <c r="D95" s="505" t="n"/>
      <c r="E95" s="506" t="n"/>
      <c r="F95" s="480" t="n"/>
      <c r="G95" s="481" t="n"/>
      <c r="H95" s="481" t="n"/>
      <c r="I95" s="481" t="n"/>
      <c r="J95" s="482" t="n"/>
      <c r="K95" s="505" t="n"/>
      <c r="L95" s="505" t="n"/>
      <c r="M95" s="480" t="n"/>
      <c r="N95" s="481" t="n"/>
      <c r="O95" s="481" t="n"/>
      <c r="P95" s="481" t="n"/>
      <c r="Q95" s="482" t="n"/>
      <c r="R95" s="505" t="n"/>
      <c r="S95" s="507" t="n"/>
      <c r="T95" s="505" t="n"/>
      <c r="U95" s="42" t="n"/>
    </row>
    <row r="96" ht="13" customHeight="1" thickBot="1">
      <c r="A96" s="45" t="n"/>
      <c r="B96" s="337" t="n">
        <v>37</v>
      </c>
      <c r="C96" s="337" t="inlineStr">
        <is>
          <t>PTX37</t>
        </is>
      </c>
      <c r="D96" s="337" t="n">
        <v>0</v>
      </c>
      <c r="E96" s="500" t="n">
        <v>0</v>
      </c>
      <c r="F96" s="163">
        <f>IF(AND(D96&lt;0,E96=0)=TRUE,0.98*D96,IF(AND(D96=0,E96&gt;0)=TRUE,0,IF(D96=-E96,0.98*D96,IF(AND(D96=-20,E96=100)=TRUE,0.98*D96,IF(AND(D96=-35,E96=300)=TRUE,0.98*D96,IF(AND(D96=-100,E96=160)=TRUE,80,IF(AND(D96=-100,E96=900)=TRUE,80,"x")))))))</f>
        <v/>
      </c>
      <c r="G96" s="90">
        <f>IF(AND(D96&lt;0,E96=0)=TRUE,0.75*D96,IF(AND(D96=0,E96&gt;0)=TRUE,0.25*E96,IF(D96=-E96,0.5*D96,IF(AND(D96=-20,E96=100)=TRUE,0,IF(AND(D96=-35,E96=300)=TRUE,0,IF(AND(D96=-100,E96=160)=TRUE,0,IF(AND(D96=-100,E96=900)=TRUE,0,"x")))))))</f>
        <v/>
      </c>
      <c r="H96" s="90">
        <f>IF(AND(D96&lt;0,E96=0)=TRUE,0.5*D96,IF(AND(D96=0,E96&gt;0)=TRUE,0.5*E96,IF(D96=-E96,0,IF(AND(D96=-20,E96=100)=TRUE,0.33*E96,IF(AND(D96=-35,E96=300)=TRUE,0.33*E96,IF(AND(D96=-100,E96=160)=TRUE,0.33*E96,IF(AND(D96=-100,E96=900)=TRUE,0.33*E96,"x")))))))</f>
        <v/>
      </c>
      <c r="I96" s="90">
        <f>IF(AND(D96&lt;0,E96=0)=TRUE,0.25*D96,IF(AND(D96=0,E96&gt;0)=TRUE,0.75*E96,IF(D96=-E96,0.5*E96,IF(AND(D96=-20,E96=100)=TRUE,0.66*E96,IF(AND(D96=-35,E96=300)=TRUE,0.66*E96,IF(AND(D96=-100,E96=160)=TRUE,0.66*E96,IF(AND(D96=-100,E96=900)=TRUE,0.66*E96,"x")))))))</f>
        <v/>
      </c>
      <c r="J96" s="91">
        <f>IF(AND(D96&lt;0,E96=0)=TRUE,0*D96,IF(AND(D96=0,E96&gt;0)=TRUE,0.98*E96,IF(D96=-E96,0.98*E96,IF(AND(D96=-20,E96=100)=TRUE,0.98*E96,IF(AND(D96=-35,E96=300)=TRUE,0.98*E96,IF(AND(D96=-100,E96=160)=TRUE,0.98*E96,IF(AND(D96=-100,E96=900)=TRUE,0.98*E96,"x")))))))</f>
        <v/>
      </c>
      <c r="K96" s="501" t="inlineStr">
        <is>
          <t>Pass</t>
        </is>
      </c>
      <c r="L96" s="502" t="inlineStr">
        <is>
          <t>-</t>
        </is>
      </c>
      <c r="M96" s="92">
        <f>F96</f>
        <v/>
      </c>
      <c r="N96" s="93">
        <f>G96</f>
        <v/>
      </c>
      <c r="O96" s="94">
        <f>H96</f>
        <v/>
      </c>
      <c r="P96" s="93">
        <f>I96</f>
        <v/>
      </c>
      <c r="Q96" s="95">
        <f>J96</f>
        <v/>
      </c>
      <c r="R96" s="503" t="inlineStr">
        <is>
          <t>kPa</t>
        </is>
      </c>
      <c r="S96" s="504">
        <f>IF(D96&lt;E96,(E96-D96)*0.002,"x")</f>
        <v/>
      </c>
      <c r="T96" s="503" t="n"/>
      <c r="U96" s="42" t="n"/>
    </row>
    <row r="97" ht="13" customHeight="1" thickBot="1">
      <c r="A97" s="45" t="n"/>
      <c r="B97" s="505" t="n"/>
      <c r="C97" s="505" t="n"/>
      <c r="D97" s="505" t="n"/>
      <c r="E97" s="506" t="n"/>
      <c r="F97" s="480" t="n"/>
      <c r="G97" s="481" t="n"/>
      <c r="H97" s="481" t="n"/>
      <c r="I97" s="481" t="n"/>
      <c r="J97" s="482" t="n"/>
      <c r="K97" s="505" t="n"/>
      <c r="L97" s="505" t="n"/>
      <c r="M97" s="480" t="n"/>
      <c r="N97" s="481" t="n"/>
      <c r="O97" s="481" t="n"/>
      <c r="P97" s="481" t="n"/>
      <c r="Q97" s="482" t="n"/>
      <c r="R97" s="505" t="n"/>
      <c r="S97" s="507" t="n"/>
      <c r="T97" s="505" t="n"/>
      <c r="U97" s="42" t="n"/>
    </row>
    <row r="98" ht="13" customHeight="1" thickBot="1">
      <c r="A98" s="45" t="n"/>
      <c r="B98" s="337" t="n">
        <v>38</v>
      </c>
      <c r="C98" s="337" t="inlineStr">
        <is>
          <t>PTX38</t>
        </is>
      </c>
      <c r="D98" s="337" t="n">
        <v>0</v>
      </c>
      <c r="E98" s="500" t="n">
        <v>0</v>
      </c>
      <c r="F98" s="163">
        <f>IF(AND(D98&lt;0,E98=0)=TRUE,0.98*D98,IF(AND(D98=0,E98&gt;0)=TRUE,0,IF(D98=-E98,0.98*D98,IF(AND(D98=-20,E98=100)=TRUE,0.98*D98,IF(AND(D98=-35,E98=300)=TRUE,0.98*D98,IF(AND(D98=-100,E98=160)=TRUE,80,IF(AND(D98=-100,E98=900)=TRUE,80,"x")))))))</f>
        <v/>
      </c>
      <c r="G98" s="90">
        <f>IF(AND(D98&lt;0,E98=0)=TRUE,0.75*D98,IF(AND(D98=0,E98&gt;0)=TRUE,0.25*E98,IF(D98=-E98,0.5*D98,IF(AND(D98=-20,E98=100)=TRUE,0,IF(AND(D98=-35,E98=300)=TRUE,0,IF(AND(D98=-100,E98=160)=TRUE,0,IF(AND(D98=-100,E98=900)=TRUE,0,"x")))))))</f>
        <v/>
      </c>
      <c r="H98" s="90">
        <f>IF(AND(D98&lt;0,E98=0)=TRUE,0.5*D98,IF(AND(D98=0,E98&gt;0)=TRUE,0.5*E98,IF(D98=-E98,0,IF(AND(D98=-20,E98=100)=TRUE,0.33*E98,IF(AND(D98=-35,E98=300)=TRUE,0.33*E98,IF(AND(D98=-100,E98=160)=TRUE,0.33*E98,IF(AND(D98=-100,E98=900)=TRUE,0.33*E98,"x")))))))</f>
        <v/>
      </c>
      <c r="I98" s="90">
        <f>IF(AND(D98&lt;0,E98=0)=TRUE,0.25*D98,IF(AND(D98=0,E98&gt;0)=TRUE,0.75*E98,IF(D98=-E98,0.5*E98,IF(AND(D98=-20,E98=100)=TRUE,0.66*E98,IF(AND(D98=-35,E98=300)=TRUE,0.66*E98,IF(AND(D98=-100,E98=160)=TRUE,0.66*E98,IF(AND(D98=-100,E98=900)=TRUE,0.66*E98,"x")))))))</f>
        <v/>
      </c>
      <c r="J98" s="91">
        <f>IF(AND(D98&lt;0,E98=0)=TRUE,0*D98,IF(AND(D98=0,E98&gt;0)=TRUE,0.98*E98,IF(D98=-E98,0.98*E98,IF(AND(D98=-20,E98=100)=TRUE,0.98*E98,IF(AND(D98=-35,E98=300)=TRUE,0.98*E98,IF(AND(D98=-100,E98=160)=TRUE,0.98*E98,IF(AND(D98=-100,E98=900)=TRUE,0.98*E98,"x")))))))</f>
        <v/>
      </c>
      <c r="K98" s="501" t="inlineStr">
        <is>
          <t>Pass</t>
        </is>
      </c>
      <c r="L98" s="502" t="inlineStr">
        <is>
          <t>-</t>
        </is>
      </c>
      <c r="M98" s="92">
        <f>F98</f>
        <v/>
      </c>
      <c r="N98" s="93">
        <f>G98</f>
        <v/>
      </c>
      <c r="O98" s="94">
        <f>H98</f>
        <v/>
      </c>
      <c r="P98" s="93">
        <f>I98</f>
        <v/>
      </c>
      <c r="Q98" s="95">
        <f>J98</f>
        <v/>
      </c>
      <c r="R98" s="503" t="inlineStr">
        <is>
          <t>kPa</t>
        </is>
      </c>
      <c r="S98" s="504">
        <f>IF(D98&lt;E98,(E98-D98)*0.002,"x")</f>
        <v/>
      </c>
      <c r="T98" s="503" t="n"/>
      <c r="U98" s="42" t="n"/>
    </row>
    <row r="99" ht="13" customHeight="1" thickBot="1">
      <c r="A99" s="45" t="n"/>
      <c r="B99" s="505" t="n"/>
      <c r="C99" s="505" t="n"/>
      <c r="D99" s="505" t="n"/>
      <c r="E99" s="506" t="n"/>
      <c r="F99" s="480" t="n"/>
      <c r="G99" s="481" t="n"/>
      <c r="H99" s="481" t="n"/>
      <c r="I99" s="481" t="n"/>
      <c r="J99" s="482" t="n"/>
      <c r="K99" s="505" t="n"/>
      <c r="L99" s="505" t="n"/>
      <c r="M99" s="480" t="n"/>
      <c r="N99" s="481" t="n"/>
      <c r="O99" s="481" t="n"/>
      <c r="P99" s="481" t="n"/>
      <c r="Q99" s="482" t="n"/>
      <c r="R99" s="505" t="n"/>
      <c r="S99" s="507" t="n"/>
      <c r="T99" s="505" t="n"/>
      <c r="U99" s="42" t="n"/>
    </row>
    <row r="100" ht="13" customHeight="1" thickBot="1">
      <c r="A100" s="45" t="n"/>
      <c r="B100" s="337" t="n">
        <v>39</v>
      </c>
      <c r="C100" s="337" t="inlineStr">
        <is>
          <t>PTX39</t>
        </is>
      </c>
      <c r="D100" s="337" t="n">
        <v>0</v>
      </c>
      <c r="E100" s="500" t="n">
        <v>0</v>
      </c>
      <c r="F100" s="163">
        <f>IF(AND(D100&lt;0,E100=0)=TRUE,0.98*D100,IF(AND(D100=0,E100&gt;0)=TRUE,0,IF(D100=-E100,0.98*D100,IF(AND(D100=-20,E100=100)=TRUE,0.98*D100,IF(AND(D100=-35,E100=300)=TRUE,0.98*D100,IF(AND(D100=-100,E100=160)=TRUE,80,IF(AND(D100=-100,E100=900)=TRUE,80,"x")))))))</f>
        <v/>
      </c>
      <c r="G100" s="90">
        <f>IF(AND(D100&lt;0,E100=0)=TRUE,0.75*D100,IF(AND(D100=0,E100&gt;0)=TRUE,0.25*E100,IF(D100=-E100,0.5*D100,IF(AND(D100=-20,E100=100)=TRUE,0,IF(AND(D100=-35,E100=300)=TRUE,0,IF(AND(D100=-100,E100=160)=TRUE,0,IF(AND(D100=-100,E100=900)=TRUE,0,"x")))))))</f>
        <v/>
      </c>
      <c r="H100" s="90">
        <f>IF(AND(D100&lt;0,E100=0)=TRUE,0.5*D100,IF(AND(D100=0,E100&gt;0)=TRUE,0.5*E100,IF(D100=-E100,0,IF(AND(D100=-20,E100=100)=TRUE,0.33*E100,IF(AND(D100=-35,E100=300)=TRUE,0.33*E100,IF(AND(D100=-100,E100=160)=TRUE,0.33*E100,IF(AND(D100=-100,E100=900)=TRUE,0.33*E100,"x")))))))</f>
        <v/>
      </c>
      <c r="I100" s="90">
        <f>IF(AND(D100&lt;0,E100=0)=TRUE,0.25*D100,IF(AND(D100=0,E100&gt;0)=TRUE,0.75*E100,IF(D100=-E100,0.5*E100,IF(AND(D100=-20,E100=100)=TRUE,0.66*E100,IF(AND(D100=-35,E100=300)=TRUE,0.66*E100,IF(AND(D100=-100,E100=160)=TRUE,0.66*E100,IF(AND(D100=-100,E100=900)=TRUE,0.66*E100,"x")))))))</f>
        <v/>
      </c>
      <c r="J100" s="91">
        <f>IF(AND(D100&lt;0,E100=0)=TRUE,0*D100,IF(AND(D100=0,E100&gt;0)=TRUE,0.98*E100,IF(D100=-E100,0.98*E100,IF(AND(D100=-20,E100=100)=TRUE,0.98*E100,IF(AND(D100=-35,E100=300)=TRUE,0.98*E100,IF(AND(D100=-100,E100=160)=TRUE,0.98*E100,IF(AND(D100=-100,E100=900)=TRUE,0.98*E100,"x")))))))</f>
        <v/>
      </c>
      <c r="K100" s="501" t="inlineStr">
        <is>
          <t>Pass</t>
        </is>
      </c>
      <c r="L100" s="502" t="inlineStr">
        <is>
          <t>-</t>
        </is>
      </c>
      <c r="M100" s="92">
        <f>F100</f>
        <v/>
      </c>
      <c r="N100" s="93">
        <f>G100</f>
        <v/>
      </c>
      <c r="O100" s="94">
        <f>H100</f>
        <v/>
      </c>
      <c r="P100" s="93">
        <f>I100</f>
        <v/>
      </c>
      <c r="Q100" s="95">
        <f>J100</f>
        <v/>
      </c>
      <c r="R100" s="503" t="inlineStr">
        <is>
          <t>kPa</t>
        </is>
      </c>
      <c r="S100" s="504">
        <f>IF(D100&lt;E100,(E100-D100)*0.002,"x")</f>
        <v/>
      </c>
      <c r="T100" s="503" t="n"/>
      <c r="U100" s="42" t="n"/>
    </row>
    <row r="101" ht="13" customHeight="1" thickBot="1">
      <c r="A101" s="45" t="n"/>
      <c r="B101" s="505" t="n"/>
      <c r="C101" s="505" t="n"/>
      <c r="D101" s="505" t="n"/>
      <c r="E101" s="506" t="n"/>
      <c r="F101" s="480" t="n"/>
      <c r="G101" s="481" t="n"/>
      <c r="H101" s="481" t="n"/>
      <c r="I101" s="481" t="n"/>
      <c r="J101" s="482" t="n"/>
      <c r="K101" s="505" t="n"/>
      <c r="L101" s="505" t="n"/>
      <c r="M101" s="480" t="n"/>
      <c r="N101" s="481" t="n"/>
      <c r="O101" s="481" t="n"/>
      <c r="P101" s="481" t="n"/>
      <c r="Q101" s="482" t="n"/>
      <c r="R101" s="505" t="n"/>
      <c r="S101" s="507" t="n"/>
      <c r="T101" s="505" t="n"/>
      <c r="U101" s="42" t="n"/>
    </row>
    <row r="102" ht="13" customHeight="1" thickBot="1">
      <c r="A102" s="45" t="n"/>
      <c r="B102" s="337" t="n">
        <v>40</v>
      </c>
      <c r="C102" s="337" t="inlineStr">
        <is>
          <t>PTX40</t>
        </is>
      </c>
      <c r="D102" s="337" t="n">
        <v>0</v>
      </c>
      <c r="E102" s="500" t="n">
        <v>0</v>
      </c>
      <c r="F102" s="163">
        <f>IF(AND(D102&lt;0,E102=0)=TRUE,0.98*D102,IF(AND(D102=0,E102&gt;0)=TRUE,0,IF(D102=-E102,0.98*D102,IF(AND(D102=-20,E102=100)=TRUE,0.98*D102,IF(AND(D102=-35,E102=300)=TRUE,0.98*D102,IF(AND(D102=-100,E102=160)=TRUE,80,IF(AND(D102=-100,E102=900)=TRUE,80,"x")))))))</f>
        <v/>
      </c>
      <c r="G102" s="90">
        <f>IF(AND(D102&lt;0,E102=0)=TRUE,0.75*D102,IF(AND(D102=0,E102&gt;0)=TRUE,0.25*E102,IF(D102=-E102,0.5*D102,IF(AND(D102=-20,E102=100)=TRUE,0,IF(AND(D102=-35,E102=300)=TRUE,0,IF(AND(D102=-100,E102=160)=TRUE,0,IF(AND(D102=-100,E102=900)=TRUE,0,"x")))))))</f>
        <v/>
      </c>
      <c r="H102" s="90">
        <f>IF(AND(D102&lt;0,E102=0)=TRUE,0.5*D102,IF(AND(D102=0,E102&gt;0)=TRUE,0.5*E102,IF(D102=-E102,0,IF(AND(D102=-20,E102=100)=TRUE,0.33*E102,IF(AND(D102=-35,E102=300)=TRUE,0.33*E102,IF(AND(D102=-100,E102=160)=TRUE,0.33*E102,IF(AND(D102=-100,E102=900)=TRUE,0.33*E102,"x")))))))</f>
        <v/>
      </c>
      <c r="I102" s="90">
        <f>IF(AND(D102&lt;0,E102=0)=TRUE,0.25*D102,IF(AND(D102=0,E102&gt;0)=TRUE,0.75*E102,IF(D102=-E102,0.5*E102,IF(AND(D102=-20,E102=100)=TRUE,0.66*E102,IF(AND(D102=-35,E102=300)=TRUE,0.66*E102,IF(AND(D102=-100,E102=160)=TRUE,0.66*E102,IF(AND(D102=-100,E102=900)=TRUE,0.66*E102,"x")))))))</f>
        <v/>
      </c>
      <c r="J102" s="91">
        <f>IF(AND(D102&lt;0,E102=0)=TRUE,0*D102,IF(AND(D102=0,E102&gt;0)=TRUE,0.98*E102,IF(D102=-E102,0.98*E102,IF(AND(D102=-20,E102=100)=TRUE,0.98*E102,IF(AND(D102=-35,E102=300)=TRUE,0.98*E102,IF(AND(D102=-100,E102=160)=TRUE,0.98*E102,IF(AND(D102=-100,E102=900)=TRUE,0.98*E102,"x")))))))</f>
        <v/>
      </c>
      <c r="K102" s="501" t="inlineStr">
        <is>
          <t>Pass</t>
        </is>
      </c>
      <c r="L102" s="502" t="inlineStr">
        <is>
          <t>-</t>
        </is>
      </c>
      <c r="M102" s="92">
        <f>F102</f>
        <v/>
      </c>
      <c r="N102" s="93">
        <f>G102</f>
        <v/>
      </c>
      <c r="O102" s="94">
        <f>H102</f>
        <v/>
      </c>
      <c r="P102" s="93">
        <f>I102</f>
        <v/>
      </c>
      <c r="Q102" s="95">
        <f>J102</f>
        <v/>
      </c>
      <c r="R102" s="503" t="inlineStr">
        <is>
          <t>kPa</t>
        </is>
      </c>
      <c r="S102" s="504">
        <f>IF(D102&lt;E102,(E102-D102)*0.002,"x")</f>
        <v/>
      </c>
      <c r="T102" s="503" t="n"/>
      <c r="U102" s="42" t="n"/>
    </row>
    <row r="103" ht="13" customHeight="1" thickBot="1">
      <c r="A103" s="45" t="n"/>
      <c r="B103" s="505" t="n"/>
      <c r="C103" s="505" t="n"/>
      <c r="D103" s="505" t="n"/>
      <c r="E103" s="506" t="n"/>
      <c r="F103" s="480" t="n"/>
      <c r="G103" s="481" t="n"/>
      <c r="H103" s="481" t="n"/>
      <c r="I103" s="481" t="n"/>
      <c r="J103" s="482" t="n"/>
      <c r="K103" s="505" t="n"/>
      <c r="L103" s="505" t="n"/>
      <c r="M103" s="480" t="n"/>
      <c r="N103" s="481" t="n"/>
      <c r="O103" s="481" t="n"/>
      <c r="P103" s="481" t="n"/>
      <c r="Q103" s="482" t="n"/>
      <c r="R103" s="505" t="n"/>
      <c r="S103" s="507" t="n"/>
      <c r="T103" s="505" t="n"/>
      <c r="U103" s="42" t="n"/>
    </row>
    <row r="104" ht="13" customHeight="1" thickBot="1">
      <c r="A104" s="45" t="n"/>
      <c r="B104" s="11" t="n"/>
      <c r="C104" s="11" t="n"/>
      <c r="D104" s="11" t="n"/>
      <c r="E104" s="11" t="inlineStr">
        <is>
          <t xml:space="preserve">         Pre-Cals. Checked By.</t>
        </is>
      </c>
      <c r="F104" s="496" t="inlineStr">
        <is>
          <t>CD</t>
        </is>
      </c>
      <c r="G104" s="472" t="n"/>
      <c r="H104" s="15" t="n"/>
      <c r="I104" s="15" t="n"/>
      <c r="J104" s="15" t="n"/>
      <c r="K104" s="15" t="n"/>
      <c r="L104" s="15" t="n"/>
      <c r="M104" s="15" t="n"/>
      <c r="N104" s="15" t="n"/>
      <c r="O104" s="15" t="n"/>
      <c r="P104" s="15" t="n"/>
      <c r="Q104" s="15" t="n"/>
      <c r="R104" s="15" t="n"/>
      <c r="S104" s="15" t="n"/>
      <c r="T104" s="15" t="n"/>
      <c r="U104" s="42" t="n"/>
    </row>
    <row r="105">
      <c r="A105" s="45" t="n"/>
      <c r="B105" s="24" t="n"/>
      <c r="C105" s="15" t="n"/>
      <c r="D105" s="15" t="n"/>
      <c r="E105" s="15" t="n"/>
      <c r="F105" s="15" t="n"/>
      <c r="G105" s="11" t="n"/>
      <c r="H105" s="11" t="n"/>
      <c r="I105" s="11" t="n"/>
      <c r="J105" s="11" t="n"/>
      <c r="K105" s="11" t="n"/>
      <c r="L105" s="14" t="n"/>
      <c r="M105" s="15" t="n"/>
      <c r="N105" s="508" t="n"/>
      <c r="O105" s="508" t="n"/>
      <c r="P105" s="15" t="n"/>
      <c r="Q105" s="15" t="n"/>
      <c r="R105" s="15" t="n"/>
      <c r="S105" s="15" t="n"/>
      <c r="T105" s="15" t="n"/>
      <c r="U105" s="42" t="n"/>
    </row>
    <row r="106" ht="13" customHeight="1" thickBot="1">
      <c r="A106" s="45" t="n"/>
      <c r="B106" s="24" t="n"/>
      <c r="C106" s="11" t="n"/>
      <c r="D106" s="11" t="n"/>
      <c r="E106" s="11" t="inlineStr">
        <is>
          <t xml:space="preserve">Pressure Calibrator Used. </t>
        </is>
      </c>
      <c r="F106" s="346" t="inlineStr">
        <is>
          <t>DEVT No.</t>
        </is>
      </c>
      <c r="G106" s="509" t="n"/>
      <c r="H106" s="346" t="inlineStr">
        <is>
          <t>Make / Model</t>
        </is>
      </c>
      <c r="I106" s="509" t="n"/>
      <c r="J106" s="509" t="n"/>
      <c r="K106" s="346" t="inlineStr">
        <is>
          <t>Serial Number</t>
        </is>
      </c>
      <c r="L106" s="509" t="n"/>
      <c r="M106" s="509" t="n"/>
      <c r="N106" s="346" t="inlineStr">
        <is>
          <t>Calibration Next Due</t>
        </is>
      </c>
      <c r="O106" s="509" t="n"/>
      <c r="P106" s="509" t="n"/>
      <c r="Q106" s="15" t="n"/>
      <c r="R106" s="15" t="n"/>
      <c r="S106" s="15" t="n"/>
      <c r="T106" s="15" t="n"/>
      <c r="U106" s="42" t="n"/>
    </row>
    <row r="107">
      <c r="A107" s="45" t="n"/>
      <c r="B107" s="24" t="n"/>
      <c r="C107" s="15" t="n"/>
      <c r="D107" s="15" t="n"/>
      <c r="E107" s="96" t="inlineStr">
        <is>
          <t xml:space="preserve">Range A --&gt; -35 to 35 kPa </t>
        </is>
      </c>
      <c r="F107" s="510" t="n">
        <v>105</v>
      </c>
      <c r="G107" s="511" t="n"/>
      <c r="H107" s="512" t="inlineStr">
        <is>
          <t>Druck DPI 620</t>
        </is>
      </c>
      <c r="I107" s="513" t="n"/>
      <c r="J107" s="511" t="n"/>
      <c r="K107" s="514" t="n"/>
      <c r="L107" s="513" t="n"/>
      <c r="M107" s="511" t="n"/>
      <c r="N107" s="515" t="n">
        <v>44866</v>
      </c>
      <c r="O107" s="513" t="n"/>
      <c r="P107" s="486" t="n"/>
      <c r="Q107" s="508" t="n"/>
      <c r="R107" s="508" t="inlineStr">
        <is>
          <t>Where</t>
        </is>
      </c>
      <c r="S107" s="97" t="inlineStr">
        <is>
          <t>set point</t>
        </is>
      </c>
      <c r="T107" s="15" t="inlineStr">
        <is>
          <t>are the</t>
        </is>
      </c>
      <c r="U107" s="42" t="n"/>
    </row>
    <row r="108">
      <c r="A108" s="45" t="n"/>
      <c r="B108" s="24" t="n"/>
      <c r="C108" s="15" t="n"/>
      <c r="D108" s="15" t="n"/>
      <c r="E108" s="96" t="inlineStr">
        <is>
          <t xml:space="preserve">Range B --&gt; -100 to 600 kPa </t>
        </is>
      </c>
      <c r="F108" s="516" t="n"/>
      <c r="G108" s="517" t="n"/>
      <c r="H108" s="518" t="n"/>
      <c r="I108" s="519" t="n"/>
      <c r="J108" s="517" t="n"/>
      <c r="K108" s="520" t="n"/>
      <c r="L108" s="519" t="n"/>
      <c r="M108" s="517" t="n"/>
      <c r="N108" s="521" t="n"/>
      <c r="O108" s="519" t="n"/>
      <c r="P108" s="522" t="n"/>
      <c r="Q108" s="15" t="n"/>
      <c r="R108" s="15" t="n"/>
      <c r="S108" s="24" t="inlineStr">
        <is>
          <t>calibration points.</t>
        </is>
      </c>
      <c r="T108" s="14" t="n"/>
      <c r="U108" s="42" t="n"/>
    </row>
    <row r="109" ht="13" customHeight="1" thickBot="1">
      <c r="A109" s="45" t="n"/>
      <c r="B109" s="24" t="n"/>
      <c r="C109" s="15" t="n"/>
      <c r="D109" s="15" t="n"/>
      <c r="E109" s="96" t="inlineStr">
        <is>
          <t xml:space="preserve">Range C --&gt; 600 to 1000 kPa </t>
        </is>
      </c>
      <c r="F109" s="523" t="n">
        <v>105</v>
      </c>
      <c r="G109" s="524" t="n"/>
      <c r="H109" s="525" t="inlineStr">
        <is>
          <t>Druck DPI 620</t>
        </is>
      </c>
      <c r="I109" s="526" t="n"/>
      <c r="J109" s="524" t="n"/>
      <c r="K109" s="527" t="n"/>
      <c r="L109" s="526" t="n"/>
      <c r="M109" s="524" t="n"/>
      <c r="N109" s="528" t="n">
        <v>44866</v>
      </c>
      <c r="O109" s="526" t="n"/>
      <c r="P109" s="529" t="n"/>
      <c r="Q109" s="11" t="n"/>
      <c r="R109" s="11" t="n"/>
      <c r="S109" s="15" t="n"/>
      <c r="T109" s="15" t="n"/>
      <c r="U109" s="42" t="n"/>
    </row>
    <row r="110" ht="13" customHeight="1" thickBot="1">
      <c r="A110" s="98" t="n"/>
      <c r="B110" s="99" t="n"/>
      <c r="C110" s="99" t="n"/>
      <c r="D110" s="99" t="n"/>
      <c r="E110" s="99" t="n"/>
      <c r="F110" s="99" t="n"/>
      <c r="G110" s="99" t="n"/>
      <c r="H110" s="99" t="n"/>
      <c r="I110" s="99" t="n"/>
      <c r="J110" s="99" t="n"/>
      <c r="K110" s="99" t="n"/>
      <c r="L110" s="99" t="n"/>
      <c r="M110" s="99" t="n"/>
      <c r="N110" s="99" t="n"/>
      <c r="O110" s="99" t="n"/>
      <c r="P110" s="100" t="n"/>
      <c r="Q110" s="99" t="n"/>
      <c r="R110" s="99" t="n"/>
      <c r="S110" s="99" t="n"/>
      <c r="T110" s="99" t="n"/>
      <c r="U110" s="46" t="n"/>
    </row>
    <row r="111" ht="13" customHeight="1" thickTop="1">
      <c r="A111" s="394" t="n"/>
      <c r="B111" s="394" t="n"/>
      <c r="C111" s="242" t="n"/>
      <c r="D111" s="394" t="n"/>
      <c r="E111" s="394" t="n"/>
      <c r="F111" s="394" t="n"/>
      <c r="G111" s="394" t="n"/>
      <c r="H111" s="394" t="n"/>
      <c r="I111" s="394" t="n"/>
      <c r="J111" s="394" t="n"/>
      <c r="K111" s="394" t="n"/>
      <c r="L111" s="394" t="n"/>
      <c r="M111" s="394" t="n"/>
      <c r="N111" s="394" t="n"/>
      <c r="O111" s="394" t="n"/>
      <c r="P111" s="394" t="n"/>
      <c r="Q111" s="394" t="n"/>
      <c r="R111" s="394" t="n"/>
      <c r="S111" s="394" t="n"/>
      <c r="T111" s="394" t="n"/>
      <c r="U111" s="394" t="n"/>
    </row>
  </sheetData>
  <mergeCells count="406">
    <mergeCell ref="K88:K89"/>
    <mergeCell ref="R13:R14"/>
    <mergeCell ref="R84:R85"/>
    <mergeCell ref="E88:E89"/>
    <mergeCell ref="T78:T79"/>
    <mergeCell ref="D21:D22"/>
    <mergeCell ref="K106:M106"/>
    <mergeCell ref="F108:G108"/>
    <mergeCell ref="R15:R16"/>
    <mergeCell ref="R86:R87"/>
    <mergeCell ref="B29:B30"/>
    <mergeCell ref="H109:J109"/>
    <mergeCell ref="R80:R81"/>
    <mergeCell ref="B23:B24"/>
    <mergeCell ref="T80:T81"/>
    <mergeCell ref="K27:K28"/>
    <mergeCell ref="T92:T93"/>
    <mergeCell ref="B37:B38"/>
    <mergeCell ref="F8:J8"/>
    <mergeCell ref="C27:C28"/>
    <mergeCell ref="B64:B65"/>
    <mergeCell ref="D64:D65"/>
    <mergeCell ref="N108:P108"/>
    <mergeCell ref="R33:R34"/>
    <mergeCell ref="E25:E26"/>
    <mergeCell ref="K9:K10"/>
    <mergeCell ref="L66:L67"/>
    <mergeCell ref="B90:B91"/>
    <mergeCell ref="E13:E14"/>
    <mergeCell ref="R74:R75"/>
    <mergeCell ref="B17:B18"/>
    <mergeCell ref="E78:E79"/>
    <mergeCell ref="D17:D18"/>
    <mergeCell ref="B11:B12"/>
    <mergeCell ref="C45:C46"/>
    <mergeCell ref="D11:D12"/>
    <mergeCell ref="S102:S103"/>
    <mergeCell ref="L68:L69"/>
    <mergeCell ref="T74:T75"/>
    <mergeCell ref="L43:L44"/>
    <mergeCell ref="S39:S40"/>
    <mergeCell ref="C47:C48"/>
    <mergeCell ref="S37:S38"/>
    <mergeCell ref="C76:C77"/>
    <mergeCell ref="E27:E28"/>
    <mergeCell ref="F109:G109"/>
    <mergeCell ref="R100:R101"/>
    <mergeCell ref="K66:K67"/>
    <mergeCell ref="T94:T95"/>
    <mergeCell ref="D37:D38"/>
    <mergeCell ref="L21:L22"/>
    <mergeCell ref="R102:R103"/>
    <mergeCell ref="T31:T32"/>
    <mergeCell ref="B45:B46"/>
    <mergeCell ref="T102:T103"/>
    <mergeCell ref="N109:P109"/>
    <mergeCell ref="R23:R24"/>
    <mergeCell ref="D88:D89"/>
    <mergeCell ref="D90:D91"/>
    <mergeCell ref="S27:S28"/>
    <mergeCell ref="D80:D81"/>
    <mergeCell ref="C84:C85"/>
    <mergeCell ref="E84:E85"/>
    <mergeCell ref="L74:L75"/>
    <mergeCell ref="R21:R22"/>
    <mergeCell ref="B98:B99"/>
    <mergeCell ref="E15:E16"/>
    <mergeCell ref="E86:E87"/>
    <mergeCell ref="L76:L77"/>
    <mergeCell ref="T100:T101"/>
    <mergeCell ref="H107:J107"/>
    <mergeCell ref="L9:L10"/>
    <mergeCell ref="T66:T67"/>
    <mergeCell ref="B33:B34"/>
    <mergeCell ref="T90:T91"/>
    <mergeCell ref="L90:L91"/>
    <mergeCell ref="L11:L12"/>
    <mergeCell ref="K74:K75"/>
    <mergeCell ref="N53:P53"/>
    <mergeCell ref="K68:K69"/>
    <mergeCell ref="R39:R40"/>
    <mergeCell ref="E43:E44"/>
    <mergeCell ref="B47:B48"/>
    <mergeCell ref="K76:K77"/>
    <mergeCell ref="B96:B97"/>
    <mergeCell ref="D96:D97"/>
    <mergeCell ref="L37:L38"/>
    <mergeCell ref="K52:M52"/>
    <mergeCell ref="L64:L65"/>
    <mergeCell ref="F51:G51"/>
    <mergeCell ref="T88:T89"/>
    <mergeCell ref="L88:L89"/>
    <mergeCell ref="K53:M53"/>
    <mergeCell ref="D33:D34"/>
    <mergeCell ref="K23:K24"/>
    <mergeCell ref="C72:C73"/>
    <mergeCell ref="T23:T24"/>
    <mergeCell ref="C96:C97"/>
    <mergeCell ref="N54:P54"/>
    <mergeCell ref="M8:Q8"/>
    <mergeCell ref="E100:E101"/>
    <mergeCell ref="H54:J54"/>
    <mergeCell ref="L17:L18"/>
    <mergeCell ref="B66:B67"/>
    <mergeCell ref="N51:P51"/>
    <mergeCell ref="T39:T40"/>
    <mergeCell ref="B41:B42"/>
    <mergeCell ref="E102:E103"/>
    <mergeCell ref="K64:K65"/>
    <mergeCell ref="L98:L99"/>
    <mergeCell ref="D35:D36"/>
    <mergeCell ref="D84:D85"/>
    <mergeCell ref="L19:L20"/>
    <mergeCell ref="E39:E40"/>
    <mergeCell ref="B43:B44"/>
    <mergeCell ref="N107:P107"/>
    <mergeCell ref="B86:B87"/>
    <mergeCell ref="F63:J63"/>
    <mergeCell ref="D86:D87"/>
    <mergeCell ref="S23:S24"/>
    <mergeCell ref="S66:S67"/>
    <mergeCell ref="R70:R71"/>
    <mergeCell ref="T21:T22"/>
    <mergeCell ref="K90:K91"/>
    <mergeCell ref="L45:L46"/>
    <mergeCell ref="S68:S69"/>
    <mergeCell ref="K82:K83"/>
    <mergeCell ref="T11:T12"/>
    <mergeCell ref="R96:R97"/>
    <mergeCell ref="T96:T97"/>
    <mergeCell ref="L96:L97"/>
    <mergeCell ref="C86:C87"/>
    <mergeCell ref="T27:T28"/>
    <mergeCell ref="T98:T99"/>
    <mergeCell ref="L80:L81"/>
    <mergeCell ref="K37:K38"/>
    <mergeCell ref="S4:T4"/>
    <mergeCell ref="C98:C99"/>
    <mergeCell ref="F54:G54"/>
    <mergeCell ref="E64:E65"/>
    <mergeCell ref="K72:K73"/>
    <mergeCell ref="T9:T10"/>
    <mergeCell ref="L33:L34"/>
    <mergeCell ref="A57:U57"/>
    <mergeCell ref="R17:R18"/>
    <mergeCell ref="T17:T18"/>
    <mergeCell ref="L35:L36"/>
    <mergeCell ref="L84:L85"/>
    <mergeCell ref="K17:K18"/>
    <mergeCell ref="S74:S75"/>
    <mergeCell ref="C17:C18"/>
    <mergeCell ref="C82:C83"/>
    <mergeCell ref="D102:D103"/>
    <mergeCell ref="L86:L87"/>
    <mergeCell ref="K19:K20"/>
    <mergeCell ref="S76:S77"/>
    <mergeCell ref="C19:C20"/>
    <mergeCell ref="D39:D40"/>
    <mergeCell ref="S88:S89"/>
    <mergeCell ref="T37:T38"/>
    <mergeCell ref="S11:S12"/>
    <mergeCell ref="T45:T46"/>
    <mergeCell ref="H52:J52"/>
    <mergeCell ref="H108:J108"/>
    <mergeCell ref="K45:K46"/>
    <mergeCell ref="B82:B83"/>
    <mergeCell ref="T68:T69"/>
    <mergeCell ref="K11:K12"/>
    <mergeCell ref="K47:K48"/>
    <mergeCell ref="K96:K97"/>
    <mergeCell ref="C70:C71"/>
    <mergeCell ref="B9:B10"/>
    <mergeCell ref="E70:E71"/>
    <mergeCell ref="K98:K99"/>
    <mergeCell ref="L41:L42"/>
    <mergeCell ref="S64:S65"/>
    <mergeCell ref="E80:E81"/>
    <mergeCell ref="C78:C79"/>
    <mergeCell ref="T19:T20"/>
    <mergeCell ref="R92:R93"/>
    <mergeCell ref="M59:O59"/>
    <mergeCell ref="T33:T34"/>
    <mergeCell ref="K51:M51"/>
    <mergeCell ref="B72:B73"/>
    <mergeCell ref="S96:S97"/>
    <mergeCell ref="K33:K34"/>
    <mergeCell ref="S90:S91"/>
    <mergeCell ref="C33:C34"/>
    <mergeCell ref="B70:B71"/>
    <mergeCell ref="S17:S18"/>
    <mergeCell ref="E33:E34"/>
    <mergeCell ref="D70:D71"/>
    <mergeCell ref="R94:R95"/>
    <mergeCell ref="H4:I4"/>
    <mergeCell ref="L102:L103"/>
    <mergeCell ref="K41:K42"/>
    <mergeCell ref="K35:K36"/>
    <mergeCell ref="C35:C36"/>
    <mergeCell ref="K84:K85"/>
    <mergeCell ref="S19:S20"/>
    <mergeCell ref="E35:E36"/>
    <mergeCell ref="B88:B89"/>
    <mergeCell ref="F104:G104"/>
    <mergeCell ref="K86:K87"/>
    <mergeCell ref="R76:R77"/>
    <mergeCell ref="B19:B20"/>
    <mergeCell ref="T76:T77"/>
    <mergeCell ref="F106:G106"/>
    <mergeCell ref="C13:C14"/>
    <mergeCell ref="S45:S46"/>
    <mergeCell ref="K25:K26"/>
    <mergeCell ref="S72:S73"/>
    <mergeCell ref="C15:C16"/>
    <mergeCell ref="S47:S48"/>
    <mergeCell ref="M63:Q63"/>
    <mergeCell ref="R29:R30"/>
    <mergeCell ref="C92:C93"/>
    <mergeCell ref="E92:E93"/>
    <mergeCell ref="S86:S87"/>
    <mergeCell ref="C29:C30"/>
    <mergeCell ref="R31:R32"/>
    <mergeCell ref="C94:C95"/>
    <mergeCell ref="E23:E24"/>
    <mergeCell ref="T35:T36"/>
    <mergeCell ref="B13:B14"/>
    <mergeCell ref="E74:E75"/>
    <mergeCell ref="D13:D14"/>
    <mergeCell ref="S98:S99"/>
    <mergeCell ref="C41:C42"/>
    <mergeCell ref="B78:B79"/>
    <mergeCell ref="T64:T65"/>
    <mergeCell ref="D78:D79"/>
    <mergeCell ref="L39:L40"/>
    <mergeCell ref="R72:R73"/>
    <mergeCell ref="B15:B16"/>
    <mergeCell ref="K43:K44"/>
    <mergeCell ref="D15:D16"/>
    <mergeCell ref="E76:E77"/>
    <mergeCell ref="C43:C44"/>
    <mergeCell ref="B80:B81"/>
    <mergeCell ref="T72:T73"/>
    <mergeCell ref="S33:S34"/>
    <mergeCell ref="K108:M108"/>
    <mergeCell ref="S35:S36"/>
    <mergeCell ref="R88:R89"/>
    <mergeCell ref="E21:E22"/>
    <mergeCell ref="R82:R83"/>
    <mergeCell ref="B25:B26"/>
    <mergeCell ref="N106:P106"/>
    <mergeCell ref="T82:T83"/>
    <mergeCell ref="F107:G107"/>
    <mergeCell ref="L82:L83"/>
    <mergeCell ref="R98:R99"/>
    <mergeCell ref="K29:K30"/>
    <mergeCell ref="B35:B36"/>
    <mergeCell ref="R19:R20"/>
    <mergeCell ref="K109:M109"/>
    <mergeCell ref="C100:C101"/>
    <mergeCell ref="C31:C32"/>
    <mergeCell ref="E31:E32"/>
    <mergeCell ref="R45:R46"/>
    <mergeCell ref="B84:B85"/>
    <mergeCell ref="M4:O4"/>
    <mergeCell ref="D25:D26"/>
    <mergeCell ref="R47:R48"/>
    <mergeCell ref="L72:L73"/>
    <mergeCell ref="B92:B93"/>
    <mergeCell ref="L70:L71"/>
    <mergeCell ref="B94:B95"/>
    <mergeCell ref="D23:D24"/>
    <mergeCell ref="S41:S42"/>
    <mergeCell ref="D94:D95"/>
    <mergeCell ref="B31:B32"/>
    <mergeCell ref="S43:S44"/>
    <mergeCell ref="E29:E30"/>
    <mergeCell ref="D76:D77"/>
    <mergeCell ref="R27:R28"/>
    <mergeCell ref="C80:C81"/>
    <mergeCell ref="K70:K71"/>
    <mergeCell ref="L25:L26"/>
    <mergeCell ref="T70:T71"/>
    <mergeCell ref="R35:R36"/>
    <mergeCell ref="T84:T85"/>
    <mergeCell ref="D92:D93"/>
    <mergeCell ref="E72:E73"/>
    <mergeCell ref="C39:C40"/>
    <mergeCell ref="H53:J53"/>
    <mergeCell ref="T86:T87"/>
    <mergeCell ref="D29:D30"/>
    <mergeCell ref="R9:R10"/>
    <mergeCell ref="F49:G49"/>
    <mergeCell ref="D31:D32"/>
    <mergeCell ref="R11:R12"/>
    <mergeCell ref="E96:E97"/>
    <mergeCell ref="B100:B101"/>
    <mergeCell ref="E17:E18"/>
    <mergeCell ref="L13:L14"/>
    <mergeCell ref="L78:L79"/>
    <mergeCell ref="N52:P52"/>
    <mergeCell ref="E98:E99"/>
    <mergeCell ref="B102:B103"/>
    <mergeCell ref="E19:E20"/>
    <mergeCell ref="L15:L16"/>
    <mergeCell ref="B39:B40"/>
    <mergeCell ref="L92:L93"/>
    <mergeCell ref="K107:M107"/>
    <mergeCell ref="S82:S83"/>
    <mergeCell ref="C25:C26"/>
    <mergeCell ref="S9:S10"/>
    <mergeCell ref="R37:R38"/>
    <mergeCell ref="L23:L24"/>
    <mergeCell ref="R66:R67"/>
    <mergeCell ref="R41:R42"/>
    <mergeCell ref="K13:K14"/>
    <mergeCell ref="H106:J106"/>
    <mergeCell ref="E45:E46"/>
    <mergeCell ref="K78:K79"/>
    <mergeCell ref="R68:R69"/>
    <mergeCell ref="F52:G52"/>
    <mergeCell ref="D19:D20"/>
    <mergeCell ref="R43:R44"/>
    <mergeCell ref="T43:T44"/>
    <mergeCell ref="E47:E48"/>
    <mergeCell ref="K54:M54"/>
    <mergeCell ref="D100:D101"/>
    <mergeCell ref="F53:G53"/>
    <mergeCell ref="D45:D46"/>
    <mergeCell ref="R25:R26"/>
    <mergeCell ref="T25:T26"/>
    <mergeCell ref="D72:D73"/>
    <mergeCell ref="D47:D48"/>
    <mergeCell ref="T41:T42"/>
    <mergeCell ref="L100:L101"/>
    <mergeCell ref="C66:C67"/>
    <mergeCell ref="L94:L95"/>
    <mergeCell ref="T13:T14"/>
    <mergeCell ref="E41:E42"/>
    <mergeCell ref="L31:L32"/>
    <mergeCell ref="T15:T16"/>
    <mergeCell ref="D98:D99"/>
    <mergeCell ref="S25:S26"/>
    <mergeCell ref="K15:K16"/>
    <mergeCell ref="K80:K81"/>
    <mergeCell ref="H51:J51"/>
    <mergeCell ref="B27:B28"/>
    <mergeCell ref="K92:K93"/>
    <mergeCell ref="D27:D28"/>
    <mergeCell ref="S59:T59"/>
    <mergeCell ref="S70:S71"/>
    <mergeCell ref="K94:K95"/>
    <mergeCell ref="L29:L30"/>
    <mergeCell ref="D9:D10"/>
    <mergeCell ref="S80:S81"/>
    <mergeCell ref="E66:E67"/>
    <mergeCell ref="C102:C103"/>
    <mergeCell ref="C74:C75"/>
    <mergeCell ref="C68:C69"/>
    <mergeCell ref="R64:R65"/>
    <mergeCell ref="E68:E69"/>
    <mergeCell ref="T29:T30"/>
    <mergeCell ref="E82:E83"/>
    <mergeCell ref="K100:K101"/>
    <mergeCell ref="A2:U2"/>
    <mergeCell ref="S13:S14"/>
    <mergeCell ref="D66:D67"/>
    <mergeCell ref="S84:S85"/>
    <mergeCell ref="S78:S79"/>
    <mergeCell ref="C21:C22"/>
    <mergeCell ref="E94:E95"/>
    <mergeCell ref="D41:D42"/>
    <mergeCell ref="K31:K32"/>
    <mergeCell ref="K102:K103"/>
    <mergeCell ref="B68:B69"/>
    <mergeCell ref="S15:S16"/>
    <mergeCell ref="D68:D69"/>
    <mergeCell ref="C23:C24"/>
    <mergeCell ref="D43:D44"/>
    <mergeCell ref="C64:C65"/>
    <mergeCell ref="R78:R79"/>
    <mergeCell ref="B21:B22"/>
    <mergeCell ref="K21:K22"/>
    <mergeCell ref="T47:T48"/>
    <mergeCell ref="L47:L48"/>
    <mergeCell ref="C88:C89"/>
    <mergeCell ref="R90:R91"/>
    <mergeCell ref="C9:C10"/>
    <mergeCell ref="E9:E10"/>
    <mergeCell ref="H59:I59"/>
    <mergeCell ref="C90:C91"/>
    <mergeCell ref="E90:E91"/>
    <mergeCell ref="C11:C12"/>
    <mergeCell ref="E11:E12"/>
    <mergeCell ref="K39:K40"/>
    <mergeCell ref="B74:B75"/>
    <mergeCell ref="D74:D75"/>
    <mergeCell ref="S92:S93"/>
    <mergeCell ref="L27:L28"/>
    <mergeCell ref="B76:B77"/>
    <mergeCell ref="D82:D83"/>
    <mergeCell ref="S29:S30"/>
    <mergeCell ref="S100:S101"/>
    <mergeCell ref="S94:S95"/>
    <mergeCell ref="C37:C38"/>
    <mergeCell ref="S21:S22"/>
    <mergeCell ref="E37:E38"/>
    <mergeCell ref="S31:S32"/>
  </mergeCells>
  <conditionalFormatting sqref="F12">
    <cfRule type="cellIs" priority="619" operator="notBetween" dxfId="1" stopIfTrue="1">
      <formula>F$11-$S$11</formula>
      <formula>F$11+$S$11</formula>
    </cfRule>
    <cfRule type="cellIs" priority="620" operator="notBetween" dxfId="0" stopIfTrue="1">
      <formula>F$11-$S$11*0.8</formula>
      <formula>F$11+$S$11*0.8</formula>
    </cfRule>
  </conditionalFormatting>
  <conditionalFormatting sqref="G12:J12">
    <cfRule type="cellIs" priority="617" operator="notBetween" dxfId="1" stopIfTrue="1">
      <formula>G$11-$S$11</formula>
      <formula>G$11+$S$11</formula>
    </cfRule>
    <cfRule type="cellIs" priority="618" operator="notBetween" dxfId="0" stopIfTrue="1">
      <formula>G$11-$S$11*0.8</formula>
      <formula>G$11+$S$11*0.8</formula>
    </cfRule>
  </conditionalFormatting>
  <conditionalFormatting sqref="M12">
    <cfRule type="cellIs" priority="615" operator="notBetween" dxfId="1" stopIfTrue="1">
      <formula>M$11-$S$11</formula>
      <formula>M$11+$S$11</formula>
    </cfRule>
    <cfRule type="cellIs" priority="616" operator="notBetween" dxfId="0" stopIfTrue="1">
      <formula>M$11-$S$11*0.8</formula>
      <formula>M$11+$S$11*0.8</formula>
    </cfRule>
  </conditionalFormatting>
  <conditionalFormatting sqref="N12:Q12">
    <cfRule type="cellIs" priority="613" operator="notBetween" dxfId="1" stopIfTrue="1">
      <formula>N$11-$S$11</formula>
      <formula>N$11+$S$11</formula>
    </cfRule>
    <cfRule type="cellIs" priority="614" operator="notBetween" dxfId="0" stopIfTrue="1">
      <formula>N$11-$S$11*0.8</formula>
      <formula>N$11+$S$11*0.8</formula>
    </cfRule>
  </conditionalFormatting>
  <conditionalFormatting sqref="F14">
    <cfRule type="cellIs" priority="611" operator="notBetween" dxfId="1" stopIfTrue="1">
      <formula>F$13-$S$13</formula>
      <formula>F$13+$S$13</formula>
    </cfRule>
    <cfRule type="cellIs" priority="612" operator="notBetween" dxfId="0" stopIfTrue="1">
      <formula>F$13-$S$13*0.8</formula>
      <formula>F$13+$S$13*0.8</formula>
    </cfRule>
  </conditionalFormatting>
  <conditionalFormatting sqref="G14:J14">
    <cfRule type="cellIs" priority="609" operator="notBetween" dxfId="1" stopIfTrue="1">
      <formula>G$13-$S$13</formula>
      <formula>G$13+$S$13</formula>
    </cfRule>
    <cfRule type="cellIs" priority="610" operator="notBetween" dxfId="0" stopIfTrue="1">
      <formula>G$13-$S$13*0.8</formula>
      <formula>G$13+$S$13*0.8</formula>
    </cfRule>
  </conditionalFormatting>
  <conditionalFormatting sqref="M14">
    <cfRule type="cellIs" priority="607" operator="notBetween" dxfId="1" stopIfTrue="1">
      <formula>M$13-$S$13</formula>
      <formula>M$13+$S$13</formula>
    </cfRule>
    <cfRule type="cellIs" priority="608" operator="notBetween" dxfId="0" stopIfTrue="1">
      <formula>M$13-$S$13*0.8</formula>
      <formula>M$13+$S$13*0.8</formula>
    </cfRule>
  </conditionalFormatting>
  <conditionalFormatting sqref="F16">
    <cfRule type="cellIs" priority="603" operator="notBetween" dxfId="1" stopIfTrue="1">
      <formula>F$15-$S$15</formula>
      <formula>F$15+$S$15</formula>
    </cfRule>
    <cfRule type="cellIs" priority="604" operator="notBetween" dxfId="0" stopIfTrue="1">
      <formula>F$15-$S$15*0.8</formula>
      <formula>F$15+$S$15*0.8</formula>
    </cfRule>
  </conditionalFormatting>
  <conditionalFormatting sqref="G16:J16">
    <cfRule type="cellIs" priority="601" operator="notBetween" dxfId="1" stopIfTrue="1">
      <formula>G$15-$S$15</formula>
      <formula>G$15+$S$15</formula>
    </cfRule>
    <cfRule type="cellIs" priority="602" operator="notBetween" dxfId="0" stopIfTrue="1">
      <formula>G$15-$S$15*0.8</formula>
      <formula>G$15+$S$15*0.8</formula>
    </cfRule>
  </conditionalFormatting>
  <conditionalFormatting sqref="M16">
    <cfRule type="cellIs" priority="599" operator="notBetween" dxfId="1" stopIfTrue="1">
      <formula>M$15-$S$15</formula>
      <formula>M$15+$S$15</formula>
    </cfRule>
    <cfRule type="cellIs" priority="600" operator="notBetween" dxfId="0" stopIfTrue="1">
      <formula>M$15-$S$15*0.8</formula>
      <formula>M$15+$S$15*0.8</formula>
    </cfRule>
  </conditionalFormatting>
  <conditionalFormatting sqref="N16:Q16">
    <cfRule type="cellIs" priority="597" operator="notBetween" dxfId="1" stopIfTrue="1">
      <formula>N$15-$S$15</formula>
      <formula>N$15+$S$15</formula>
    </cfRule>
    <cfRule type="cellIs" priority="598" operator="notBetween" dxfId="0" stopIfTrue="1">
      <formula>N$15-$S$15*0.8</formula>
      <formula>N$15+$S$15*0.8</formula>
    </cfRule>
  </conditionalFormatting>
  <conditionalFormatting sqref="F18:J18">
    <cfRule type="cellIs" priority="595" operator="notBetween" dxfId="1" stopIfTrue="1">
      <formula>F$17-$S$17</formula>
      <formula>F$17+$S$17</formula>
    </cfRule>
    <cfRule type="cellIs" priority="596" operator="notBetween" dxfId="0" stopIfTrue="1">
      <formula>F$17-$S$17*0.8</formula>
      <formula>F$17+$S$17*0.8</formula>
    </cfRule>
  </conditionalFormatting>
  <conditionalFormatting sqref="K9:K18">
    <cfRule type="containsText" priority="587" operator="containsText" dxfId="140" text="Fail">
      <formula>NOT(ISERROR(SEARCH("Fail",K9)))</formula>
    </cfRule>
    <cfRule type="containsText" priority="594" operator="containsText" dxfId="139" text="Pass">
      <formula>NOT(ISERROR(SEARCH("Pass",K9)))</formula>
    </cfRule>
  </conditionalFormatting>
  <conditionalFormatting sqref="F10:J10">
    <cfRule type="cellIs" priority="592" operator="notBetween" dxfId="1" stopIfTrue="1">
      <formula>F$9-$S$9</formula>
      <formula>F$9+$S$9</formula>
    </cfRule>
    <cfRule type="cellIs" priority="593" operator="notBetween" dxfId="0" stopIfTrue="1">
      <formula>F$9-$S$9*0.8</formula>
      <formula>F$9+$S$9*0.8</formula>
    </cfRule>
  </conditionalFormatting>
  <conditionalFormatting sqref="M10:Q10">
    <cfRule type="cellIs" priority="590" operator="notBetween" dxfId="1" stopIfTrue="1">
      <formula>M$9-$S$9</formula>
      <formula>M$9+$S$9</formula>
    </cfRule>
    <cfRule type="cellIs" priority="591" operator="notBetween" dxfId="0" stopIfTrue="1">
      <formula>M$9-$S$9*0.8</formula>
      <formula>M$9+$S$9*0.8</formula>
    </cfRule>
  </conditionalFormatting>
  <conditionalFormatting sqref="M14:Q14">
    <cfRule type="cellIs" priority="605" operator="notBetween" dxfId="1" stopIfTrue="1">
      <formula>M$13-$S$13</formula>
      <formula>M$13+$S$13</formula>
    </cfRule>
    <cfRule type="cellIs" priority="606" operator="notBetween" dxfId="0" stopIfTrue="1">
      <formula>M$13-$S$13*0.8</formula>
      <formula>M$13+$S$13*0.8</formula>
    </cfRule>
  </conditionalFormatting>
  <conditionalFormatting sqref="M18:Q18">
    <cfRule type="cellIs" priority="588" operator="notBetween" dxfId="1" stopIfTrue="1">
      <formula>M$17-$S$17</formula>
      <formula>M$17+$S$17</formula>
    </cfRule>
    <cfRule type="cellIs" priority="589" operator="notBetween" dxfId="0" stopIfTrue="1">
      <formula>M$17-$S$17*0.8</formula>
      <formula>M$17+$S$17*0.8</formula>
    </cfRule>
  </conditionalFormatting>
  <conditionalFormatting sqref="F20:J20">
    <cfRule type="cellIs" priority="585" operator="notBetween" dxfId="1" stopIfTrue="1">
      <formula>F$17-$S$17</formula>
      <formula>F$17+$S$17</formula>
    </cfRule>
    <cfRule type="cellIs" priority="586" operator="notBetween" dxfId="0" stopIfTrue="1">
      <formula>F$17-$S$17*0.8</formula>
      <formula>F$17+$S$17*0.8</formula>
    </cfRule>
  </conditionalFormatting>
  <conditionalFormatting sqref="K19:K20">
    <cfRule type="containsText" priority="581" operator="containsText" dxfId="140" text="Fail">
      <formula>NOT(ISERROR(SEARCH("Fail",K19)))</formula>
    </cfRule>
    <cfRule type="containsText" priority="584" operator="containsText" dxfId="139" text="Pass">
      <formula>NOT(ISERROR(SEARCH("Pass",K19)))</formula>
    </cfRule>
  </conditionalFormatting>
  <conditionalFormatting sqref="M20:Q20">
    <cfRule type="cellIs" priority="582" operator="notBetween" dxfId="1" stopIfTrue="1">
      <formula>M$17-$S$17</formula>
      <formula>M$17+$S$17</formula>
    </cfRule>
    <cfRule type="cellIs" priority="583" operator="notBetween" dxfId="0" stopIfTrue="1">
      <formula>M$17-$S$17*0.8</formula>
      <formula>M$17+$S$17*0.8</formula>
    </cfRule>
  </conditionalFormatting>
  <conditionalFormatting sqref="F22:J22">
    <cfRule type="cellIs" priority="579" operator="notBetween" dxfId="1" stopIfTrue="1">
      <formula>F$17-$S$17</formula>
      <formula>F$17+$S$17</formula>
    </cfRule>
    <cfRule type="cellIs" priority="580" operator="notBetween" dxfId="0" stopIfTrue="1">
      <formula>F$17-$S$17*0.8</formula>
      <formula>F$17+$S$17*0.8</formula>
    </cfRule>
  </conditionalFormatting>
  <conditionalFormatting sqref="K21:K22">
    <cfRule type="containsText" priority="575" operator="containsText" dxfId="140" text="Fail">
      <formula>NOT(ISERROR(SEARCH("Fail",K21)))</formula>
    </cfRule>
    <cfRule type="containsText" priority="578" operator="containsText" dxfId="139" text="Pass">
      <formula>NOT(ISERROR(SEARCH("Pass",K21)))</formula>
    </cfRule>
  </conditionalFormatting>
  <conditionalFormatting sqref="M22:Q22">
    <cfRule type="cellIs" priority="576" operator="notBetween" dxfId="1" stopIfTrue="1">
      <formula>M$17-$S$17</formula>
      <formula>M$17+$S$17</formula>
    </cfRule>
    <cfRule type="cellIs" priority="577" operator="notBetween" dxfId="0" stopIfTrue="1">
      <formula>M$17-$S$17*0.8</formula>
      <formula>M$17+$S$17*0.8</formula>
    </cfRule>
  </conditionalFormatting>
  <conditionalFormatting sqref="F24:J24">
    <cfRule type="cellIs" priority="573" operator="notBetween" dxfId="1" stopIfTrue="1">
      <formula>F$24-$S$24</formula>
      <formula>F$24+$S$24</formula>
    </cfRule>
    <cfRule type="cellIs" priority="574" operator="notBetween" dxfId="0" stopIfTrue="1">
      <formula>F$24-$S$24*0.8</formula>
      <formula>F$24+$S$24*0.8</formula>
    </cfRule>
  </conditionalFormatting>
  <conditionalFormatting sqref="K23:K24">
    <cfRule type="containsText" priority="569" operator="containsText" dxfId="140" text="Fail">
      <formula>NOT(ISERROR(SEARCH("Fail",K23)))</formula>
    </cfRule>
    <cfRule type="containsText" priority="572" operator="containsText" dxfId="139" text="Pass">
      <formula>NOT(ISERROR(SEARCH("Pass",K23)))</formula>
    </cfRule>
  </conditionalFormatting>
  <conditionalFormatting sqref="M24:Q24">
    <cfRule type="cellIs" priority="570" operator="notBetween" dxfId="1" stopIfTrue="1">
      <formula>M$17-$S$17</formula>
      <formula>M$17+$S$17</formula>
    </cfRule>
    <cfRule type="cellIs" priority="571" operator="notBetween" dxfId="0" stopIfTrue="1">
      <formula>M$17-$S$17*0.8</formula>
      <formula>M$17+$S$17*0.8</formula>
    </cfRule>
  </conditionalFormatting>
  <conditionalFormatting sqref="F26:J26">
    <cfRule type="cellIs" priority="567" operator="notBetween" dxfId="1" stopIfTrue="1">
      <formula>F$25-$S$25</formula>
      <formula>F$25+$S$25</formula>
    </cfRule>
    <cfRule type="cellIs" priority="568" operator="notBetween" dxfId="0" stopIfTrue="1">
      <formula>F$25-$S$25*0.8</formula>
      <formula>F$25+$S$25*0.8</formula>
    </cfRule>
  </conditionalFormatting>
  <conditionalFormatting sqref="K25:K26">
    <cfRule type="containsText" priority="563" operator="containsText" dxfId="140" text="Fail">
      <formula>NOT(ISERROR(SEARCH("Fail",K25)))</formula>
    </cfRule>
    <cfRule type="containsText" priority="566" operator="containsText" dxfId="139" text="Pass">
      <formula>NOT(ISERROR(SEARCH("Pass",K25)))</formula>
    </cfRule>
  </conditionalFormatting>
  <conditionalFormatting sqref="F28:J28">
    <cfRule type="cellIs" priority="561" operator="notBetween" dxfId="1" stopIfTrue="1">
      <formula>F$27-$S$27</formula>
      <formula>F$27+$S$27</formula>
    </cfRule>
    <cfRule type="cellIs" priority="562" operator="notBetween" dxfId="0" stopIfTrue="1">
      <formula>F$27-$S$27*0.8</formula>
      <formula>F$27+$S$27*0.8</formula>
    </cfRule>
  </conditionalFormatting>
  <conditionalFormatting sqref="K27:K28">
    <cfRule type="containsText" priority="557" operator="containsText" dxfId="140" text="Fail">
      <formula>NOT(ISERROR(SEARCH("Fail",K27)))</formula>
    </cfRule>
    <cfRule type="containsText" priority="560" operator="containsText" dxfId="139" text="Pass">
      <formula>NOT(ISERROR(SEARCH("Pass",K27)))</formula>
    </cfRule>
  </conditionalFormatting>
  <conditionalFormatting sqref="M28:Q28">
    <cfRule type="cellIs" priority="558" operator="notBetween" dxfId="1" stopIfTrue="1">
      <formula>M$17-$S$17</formula>
      <formula>M$17+$S$17</formula>
    </cfRule>
    <cfRule type="cellIs" priority="559" operator="notBetween" dxfId="0" stopIfTrue="1">
      <formula>M$17-$S$17*0.8</formula>
      <formula>M$17+$S$17*0.8</formula>
    </cfRule>
  </conditionalFormatting>
  <conditionalFormatting sqref="F30:J30">
    <cfRule type="cellIs" priority="555" operator="notBetween" dxfId="1" stopIfTrue="1">
      <formula>F$29-$S$29</formula>
      <formula>F$29+$S$29</formula>
    </cfRule>
    <cfRule type="cellIs" priority="556" operator="notBetween" dxfId="0" stopIfTrue="1">
      <formula>F$29-$S$29*0.8</formula>
      <formula>F$29+$S$29*0.8</formula>
    </cfRule>
  </conditionalFormatting>
  <conditionalFormatting sqref="K29:K30">
    <cfRule type="containsText" priority="551" operator="containsText" dxfId="140" text="Fail">
      <formula>NOT(ISERROR(SEARCH("Fail",K29)))</formula>
    </cfRule>
    <cfRule type="containsText" priority="554" operator="containsText" dxfId="139" text="Pass">
      <formula>NOT(ISERROR(SEARCH("Pass",K29)))</formula>
    </cfRule>
  </conditionalFormatting>
  <conditionalFormatting sqref="M30:Q30">
    <cfRule type="cellIs" priority="552" operator="notBetween" dxfId="1" stopIfTrue="1">
      <formula>M$17-$S$17</formula>
      <formula>M$17+$S$17</formula>
    </cfRule>
    <cfRule type="cellIs" priority="553" operator="notBetween" dxfId="0" stopIfTrue="1">
      <formula>M$17-$S$17*0.8</formula>
      <formula>M$17+$S$17*0.8</formula>
    </cfRule>
  </conditionalFormatting>
  <conditionalFormatting sqref="F32:J32">
    <cfRule type="cellIs" priority="549" operator="notBetween" dxfId="1" stopIfTrue="1">
      <formula>F$31-$S$31</formula>
      <formula>F$31+$S$31</formula>
    </cfRule>
    <cfRule type="cellIs" priority="550" operator="notBetween" dxfId="0" stopIfTrue="1">
      <formula>F$31-$S$31*0.8</formula>
      <formula>F$31+$S$31*0.8</formula>
    </cfRule>
  </conditionalFormatting>
  <conditionalFormatting sqref="K31:K32">
    <cfRule type="containsText" priority="545" operator="containsText" dxfId="140" text="Fail">
      <formula>NOT(ISERROR(SEARCH("Fail",K31)))</formula>
    </cfRule>
    <cfRule type="containsText" priority="548" operator="containsText" dxfId="139" text="Pass">
      <formula>NOT(ISERROR(SEARCH("Pass",K31)))</formula>
    </cfRule>
  </conditionalFormatting>
  <conditionalFormatting sqref="M32:Q32">
    <cfRule type="cellIs" priority="546" operator="notBetween" dxfId="1" stopIfTrue="1">
      <formula>M$17-$S$17</formula>
      <formula>M$17+$S$17</formula>
    </cfRule>
    <cfRule type="cellIs" priority="547" operator="notBetween" dxfId="0" stopIfTrue="1">
      <formula>M$17-$S$17*0.8</formula>
      <formula>M$17+$S$17*0.8</formula>
    </cfRule>
  </conditionalFormatting>
  <conditionalFormatting sqref="F34:J34">
    <cfRule type="cellIs" priority="543" operator="notBetween" dxfId="1" stopIfTrue="1">
      <formula>F$17-$S$17</formula>
      <formula>F$17+$S$17</formula>
    </cfRule>
    <cfRule type="cellIs" priority="544" operator="notBetween" dxfId="0" stopIfTrue="1">
      <formula>F$17-$S$17*0.8</formula>
      <formula>F$17+$S$17*0.8</formula>
    </cfRule>
  </conditionalFormatting>
  <conditionalFormatting sqref="K33:K34">
    <cfRule type="containsText" priority="539" operator="containsText" dxfId="140" text="Fail">
      <formula>NOT(ISERROR(SEARCH("Fail",K33)))</formula>
    </cfRule>
    <cfRule type="containsText" priority="542" operator="containsText" dxfId="139" text="Pass">
      <formula>NOT(ISERROR(SEARCH("Pass",K33)))</formula>
    </cfRule>
  </conditionalFormatting>
  <conditionalFormatting sqref="M34:Q34">
    <cfRule type="cellIs" priority="540" operator="notBetween" dxfId="1" stopIfTrue="1">
      <formula>M$17-$S$17</formula>
      <formula>M$17+$S$17</formula>
    </cfRule>
    <cfRule type="cellIs" priority="541" operator="notBetween" dxfId="0" stopIfTrue="1">
      <formula>M$17-$S$17*0.8</formula>
      <formula>M$17+$S$17*0.8</formula>
    </cfRule>
  </conditionalFormatting>
  <conditionalFormatting sqref="F36:J36">
    <cfRule type="cellIs" priority="537" operator="notBetween" dxfId="1" stopIfTrue="1">
      <formula>F$17-$S$17</formula>
      <formula>F$17+$S$17</formula>
    </cfRule>
    <cfRule type="cellIs" priority="538" operator="notBetween" dxfId="0" stopIfTrue="1">
      <formula>F$17-$S$17*0.8</formula>
      <formula>F$17+$S$17*0.8</formula>
    </cfRule>
  </conditionalFormatting>
  <conditionalFormatting sqref="K35:K36">
    <cfRule type="containsText" priority="533" operator="containsText" dxfId="140" text="Fail">
      <formula>NOT(ISERROR(SEARCH("Fail",K35)))</formula>
    </cfRule>
    <cfRule type="containsText" priority="536" operator="containsText" dxfId="139" text="Pass">
      <formula>NOT(ISERROR(SEARCH("Pass",K35)))</formula>
    </cfRule>
  </conditionalFormatting>
  <conditionalFormatting sqref="M36:Q36">
    <cfRule type="cellIs" priority="534" operator="notBetween" dxfId="1" stopIfTrue="1">
      <formula>M$17-$S$17</formula>
      <formula>M$17+$S$17</formula>
    </cfRule>
    <cfRule type="cellIs" priority="535" operator="notBetween" dxfId="0" stopIfTrue="1">
      <formula>M$17-$S$17*0.8</formula>
      <formula>M$17+$S$17*0.8</formula>
    </cfRule>
  </conditionalFormatting>
  <conditionalFormatting sqref="F38:J38">
    <cfRule type="cellIs" priority="531" operator="notBetween" dxfId="1" stopIfTrue="1">
      <formula>F$17-$S$17</formula>
      <formula>F$17+$S$17</formula>
    </cfRule>
    <cfRule type="cellIs" priority="532" operator="notBetween" dxfId="0" stopIfTrue="1">
      <formula>F$17-$S$17*0.8</formula>
      <formula>F$17+$S$17*0.8</formula>
    </cfRule>
  </conditionalFormatting>
  <conditionalFormatting sqref="K37:K38">
    <cfRule type="containsText" priority="527" operator="containsText" dxfId="140" text="Fail">
      <formula>NOT(ISERROR(SEARCH("Fail",K37)))</formula>
    </cfRule>
    <cfRule type="containsText" priority="530" operator="containsText" dxfId="139" text="Pass">
      <formula>NOT(ISERROR(SEARCH("Pass",K37)))</formula>
    </cfRule>
  </conditionalFormatting>
  <conditionalFormatting sqref="M38:Q38">
    <cfRule type="cellIs" priority="528" operator="notBetween" dxfId="1" stopIfTrue="1">
      <formula>M$17-$S$17</formula>
      <formula>M$17+$S$17</formula>
    </cfRule>
    <cfRule type="cellIs" priority="529" operator="notBetween" dxfId="0" stopIfTrue="1">
      <formula>M$17-$S$17*0.8</formula>
      <formula>M$17+$S$17*0.8</formula>
    </cfRule>
  </conditionalFormatting>
  <conditionalFormatting sqref="F40:J40">
    <cfRule type="cellIs" priority="525" operator="notBetween" dxfId="1" stopIfTrue="1">
      <formula>F$39-$S$39</formula>
      <formula>F$39+$S$39</formula>
    </cfRule>
    <cfRule type="cellIs" priority="526" operator="notBetween" dxfId="0" stopIfTrue="1">
      <formula>F$39-$S$39*0.8</formula>
      <formula>F$39+$S$39*0.8</formula>
    </cfRule>
  </conditionalFormatting>
  <conditionalFormatting sqref="K39:K40">
    <cfRule type="containsText" priority="521" operator="containsText" dxfId="140" text="Fail">
      <formula>NOT(ISERROR(SEARCH("Fail",K39)))</formula>
    </cfRule>
    <cfRule type="containsText" priority="524" operator="containsText" dxfId="139" text="Pass">
      <formula>NOT(ISERROR(SEARCH("Pass",K39)))</formula>
    </cfRule>
  </conditionalFormatting>
  <conditionalFormatting sqref="F42:J42">
    <cfRule type="cellIs" priority="519" operator="notBetween" dxfId="1" stopIfTrue="1">
      <formula>F$41-$S$41</formula>
      <formula>F$41+$S$41</formula>
    </cfRule>
    <cfRule type="cellIs" priority="520" operator="notBetween" dxfId="0" stopIfTrue="1">
      <formula>F$41-$S$41*0.8</formula>
      <formula>F$41+$S$41*0.8</formula>
    </cfRule>
  </conditionalFormatting>
  <conditionalFormatting sqref="K41:K42">
    <cfRule type="containsText" priority="515" operator="containsText" dxfId="140" text="Fail">
      <formula>NOT(ISERROR(SEARCH("Fail",K41)))</formula>
    </cfRule>
    <cfRule type="containsText" priority="518" operator="containsText" dxfId="139" text="Pass">
      <formula>NOT(ISERROR(SEARCH("Pass",K41)))</formula>
    </cfRule>
  </conditionalFormatting>
  <conditionalFormatting sqref="M42:Q42">
    <cfRule type="cellIs" priority="516" operator="notBetween" dxfId="1" stopIfTrue="1">
      <formula>M$17-$S$17</formula>
      <formula>M$17+$S$17</formula>
    </cfRule>
    <cfRule type="cellIs" priority="517" operator="notBetween" dxfId="0" stopIfTrue="1">
      <formula>M$17-$S$17*0.8</formula>
      <formula>M$17+$S$17*0.8</formula>
    </cfRule>
  </conditionalFormatting>
  <conditionalFormatting sqref="F44:J44">
    <cfRule type="cellIs" priority="513" operator="notBetween" dxfId="1" stopIfTrue="1">
      <formula>F$43-$S$43</formula>
      <formula>F$43+$S$43</formula>
    </cfRule>
    <cfRule type="cellIs" priority="514" operator="notBetween" dxfId="0" stopIfTrue="1">
      <formula>F$43-$S$43*0.8</formula>
      <formula>F$43+$S$43*0.8</formula>
    </cfRule>
  </conditionalFormatting>
  <conditionalFormatting sqref="K43:K44">
    <cfRule type="containsText" priority="509" operator="containsText" dxfId="140" text="Fail">
      <formula>NOT(ISERROR(SEARCH("Fail",K43)))</formula>
    </cfRule>
    <cfRule type="containsText" priority="512" operator="containsText" dxfId="139" text="Pass">
      <formula>NOT(ISERROR(SEARCH("Pass",K43)))</formula>
    </cfRule>
  </conditionalFormatting>
  <conditionalFormatting sqref="M44:Q44">
    <cfRule type="cellIs" priority="510" operator="notBetween" dxfId="1" stopIfTrue="1">
      <formula>M$17-$S$17</formula>
      <formula>M$17+$S$17</formula>
    </cfRule>
    <cfRule type="cellIs" priority="511" operator="notBetween" dxfId="0" stopIfTrue="1">
      <formula>M$17-$S$17*0.8</formula>
      <formula>M$17+$S$17*0.8</formula>
    </cfRule>
  </conditionalFormatting>
  <conditionalFormatting sqref="F46:J46">
    <cfRule type="cellIs" priority="507" operator="notBetween" dxfId="1" stopIfTrue="1">
      <formula>F$17-$S$17</formula>
      <formula>F$17+$S$17</formula>
    </cfRule>
    <cfRule type="cellIs" priority="508" operator="notBetween" dxfId="0" stopIfTrue="1">
      <formula>F$17-$S$17*0.8</formula>
      <formula>F$17+$S$17*0.8</formula>
    </cfRule>
  </conditionalFormatting>
  <conditionalFormatting sqref="K45:K46">
    <cfRule type="containsText" priority="503" operator="containsText" dxfId="140" text="Fail">
      <formula>NOT(ISERROR(SEARCH("Fail",K45)))</formula>
    </cfRule>
    <cfRule type="containsText" priority="506" operator="containsText" dxfId="139" text="Pass">
      <formula>NOT(ISERROR(SEARCH("Pass",K45)))</formula>
    </cfRule>
  </conditionalFormatting>
  <conditionalFormatting sqref="M46:Q46">
    <cfRule type="cellIs" priority="504" operator="notBetween" dxfId="1" stopIfTrue="1">
      <formula>M$17-$S$17</formula>
      <formula>M$17+$S$17</formula>
    </cfRule>
    <cfRule type="cellIs" priority="505" operator="notBetween" dxfId="0" stopIfTrue="1">
      <formula>M$17-$S$17*0.8</formula>
      <formula>M$17+$S$17*0.8</formula>
    </cfRule>
  </conditionalFormatting>
  <conditionalFormatting sqref="F48:J48">
    <cfRule type="cellIs" priority="501" operator="notBetween" dxfId="1" stopIfTrue="1">
      <formula>F$17-$S$17</formula>
      <formula>F$17+$S$17</formula>
    </cfRule>
    <cfRule type="cellIs" priority="502" operator="notBetween" dxfId="0" stopIfTrue="1">
      <formula>F$17-$S$17*0.8</formula>
      <formula>F$17+$S$17*0.8</formula>
    </cfRule>
  </conditionalFormatting>
  <conditionalFormatting sqref="K47:K48">
    <cfRule type="containsText" priority="497" operator="containsText" dxfId="140" text="Fail">
      <formula>NOT(ISERROR(SEARCH("Fail",K47)))</formula>
    </cfRule>
    <cfRule type="containsText" priority="500" operator="containsText" dxfId="139" text="Pass">
      <formula>NOT(ISERROR(SEARCH("Pass",K47)))</formula>
    </cfRule>
  </conditionalFormatting>
  <conditionalFormatting sqref="M48:Q48">
    <cfRule type="cellIs" priority="498" operator="notBetween" dxfId="1" stopIfTrue="1">
      <formula>M$17-$S$17</formula>
      <formula>M$17+$S$17</formula>
    </cfRule>
    <cfRule type="cellIs" priority="499" operator="notBetween" dxfId="0" stopIfTrue="1">
      <formula>M$17-$S$17*0.8</formula>
      <formula>M$17+$S$17*0.8</formula>
    </cfRule>
  </conditionalFormatting>
  <conditionalFormatting sqref="M67">
    <cfRule type="cellIs" priority="137" operator="notBetween" dxfId="1" stopIfTrue="1">
      <formula>M$11-$S$11</formula>
      <formula>M$11+$S$11</formula>
    </cfRule>
    <cfRule type="cellIs" priority="138" operator="notBetween" dxfId="0" stopIfTrue="1">
      <formula>M$11-$S$11*0.8</formula>
      <formula>M$11+$S$11*0.8</formula>
    </cfRule>
  </conditionalFormatting>
  <conditionalFormatting sqref="N67:Q67">
    <cfRule type="cellIs" priority="135" operator="notBetween" dxfId="1" stopIfTrue="1">
      <formula>N$11-$S$11</formula>
      <formula>N$11+$S$11</formula>
    </cfRule>
    <cfRule type="cellIs" priority="136" operator="notBetween" dxfId="0" stopIfTrue="1">
      <formula>N$11-$S$11*0.8</formula>
      <formula>N$11+$S$11*0.8</formula>
    </cfRule>
  </conditionalFormatting>
  <conditionalFormatting sqref="F69">
    <cfRule type="cellIs" priority="133" operator="notBetween" dxfId="1" stopIfTrue="1">
      <formula>F$68-$S$68</formula>
      <formula>F$68+$S$68</formula>
    </cfRule>
    <cfRule type="cellIs" priority="134" operator="notBetween" dxfId="0" stopIfTrue="1">
      <formula>F$68-$S$68*0.8</formula>
      <formula>F$68+$S$68*0.8</formula>
    </cfRule>
  </conditionalFormatting>
  <conditionalFormatting sqref="M69">
    <cfRule type="cellIs" priority="129" operator="notBetween" dxfId="1" stopIfTrue="1">
      <formula>M$13-$S$13</formula>
      <formula>M$13+$S$13</formula>
    </cfRule>
    <cfRule type="cellIs" priority="130" operator="notBetween" dxfId="0" stopIfTrue="1">
      <formula>M$13-$S$13*0.8</formula>
      <formula>M$13+$S$13*0.8</formula>
    </cfRule>
  </conditionalFormatting>
  <conditionalFormatting sqref="F71">
    <cfRule type="cellIs" priority="125" operator="notBetween" dxfId="1" stopIfTrue="1">
      <formula>F$70-$S$70</formula>
      <formula>F$70+$S$70</formula>
    </cfRule>
    <cfRule type="cellIs" priority="126" operator="notBetween" dxfId="0" stopIfTrue="1">
      <formula>F$70-$S$70*0.8</formula>
      <formula>F$70+$S$70*0.8</formula>
    </cfRule>
  </conditionalFormatting>
  <conditionalFormatting sqref="M71">
    <cfRule type="cellIs" priority="121" operator="notBetween" dxfId="1" stopIfTrue="1">
      <formula>M$15-$S$15</formula>
      <formula>M$15+$S$15</formula>
    </cfRule>
    <cfRule type="cellIs" priority="122" operator="notBetween" dxfId="0" stopIfTrue="1">
      <formula>M$15-$S$15*0.8</formula>
      <formula>M$15+$S$15*0.8</formula>
    </cfRule>
  </conditionalFormatting>
  <conditionalFormatting sqref="N71:Q71">
    <cfRule type="cellIs" priority="119" operator="notBetween" dxfId="1" stopIfTrue="1">
      <formula>N$15-$S$15</formula>
      <formula>N$15+$S$15</formula>
    </cfRule>
    <cfRule type="cellIs" priority="120" operator="notBetween" dxfId="0" stopIfTrue="1">
      <formula>N$15-$S$15*0.8</formula>
      <formula>N$15+$S$15*0.8</formula>
    </cfRule>
  </conditionalFormatting>
  <conditionalFormatting sqref="F73:J73">
    <cfRule type="cellIs" priority="117" operator="notBetween" dxfId="1" stopIfTrue="1">
      <formula>F$72-$S$72</formula>
      <formula>F$72+$S$72</formula>
    </cfRule>
    <cfRule type="cellIs" priority="118" operator="notBetween" dxfId="0" stopIfTrue="1">
      <formula>F$72-$S$72*0.8</formula>
      <formula>F$72+$S$72*0.8</formula>
    </cfRule>
  </conditionalFormatting>
  <conditionalFormatting sqref="K64:K73">
    <cfRule type="containsText" priority="109" operator="containsText" dxfId="140" text="Fail">
      <formula>NOT(ISERROR(SEARCH("Fail",K64)))</formula>
    </cfRule>
    <cfRule type="containsText" priority="116" operator="containsText" dxfId="139" text="Pass">
      <formula>NOT(ISERROR(SEARCH("Pass",K64)))</formula>
    </cfRule>
  </conditionalFormatting>
  <conditionalFormatting sqref="F65:J65">
    <cfRule type="cellIs" priority="114" operator="notBetween" dxfId="1" stopIfTrue="1">
      <formula>F$64-$S$64</formula>
      <formula>F$64+$S$64</formula>
    </cfRule>
    <cfRule type="cellIs" priority="115" operator="notBetween" dxfId="0" stopIfTrue="1">
      <formula>F$64-$S$64*0.8</formula>
      <formula>F$64+$S$64*0.8</formula>
    </cfRule>
  </conditionalFormatting>
  <conditionalFormatting sqref="M65:Q65">
    <cfRule type="cellIs" priority="112" operator="notBetween" dxfId="1" stopIfTrue="1">
      <formula>M$9-$S$9</formula>
      <formula>M$9+$S$9</formula>
    </cfRule>
    <cfRule type="cellIs" priority="113" operator="notBetween" dxfId="0" stopIfTrue="1">
      <formula>M$9-$S$9*0.8</formula>
      <formula>M$9+$S$9*0.8</formula>
    </cfRule>
  </conditionalFormatting>
  <conditionalFormatting sqref="M69:Q69">
    <cfRule type="cellIs" priority="127" operator="notBetween" dxfId="1" stopIfTrue="1">
      <formula>M$13-$S$13</formula>
      <formula>M$13+$S$13</formula>
    </cfRule>
    <cfRule type="cellIs" priority="128" operator="notBetween" dxfId="0" stopIfTrue="1">
      <formula>M$13-$S$13*0.8</formula>
      <formula>M$13+$S$13*0.8</formula>
    </cfRule>
  </conditionalFormatting>
  <conditionalFormatting sqref="M73:Q73">
    <cfRule type="cellIs" priority="110" operator="notBetween" dxfId="1" stopIfTrue="1">
      <formula>M$17-$S$17</formula>
      <formula>M$17+$S$17</formula>
    </cfRule>
    <cfRule type="cellIs" priority="111" operator="notBetween" dxfId="0" stopIfTrue="1">
      <formula>M$17-$S$17*0.8</formula>
      <formula>M$17+$S$17*0.8</formula>
    </cfRule>
  </conditionalFormatting>
  <conditionalFormatting sqref="K74:K75">
    <cfRule type="containsText" priority="103" operator="containsText" dxfId="140" text="Fail">
      <formula>NOT(ISERROR(SEARCH("Fail",K74)))</formula>
    </cfRule>
    <cfRule type="containsText" priority="106" operator="containsText" dxfId="139" text="Pass">
      <formula>NOT(ISERROR(SEARCH("Pass",K74)))</formula>
    </cfRule>
  </conditionalFormatting>
  <conditionalFormatting sqref="M75:Q75">
    <cfRule type="cellIs" priority="104" operator="notBetween" dxfId="1" stopIfTrue="1">
      <formula>M$17-$S$17</formula>
      <formula>M$17+$S$17</formula>
    </cfRule>
    <cfRule type="cellIs" priority="105" operator="notBetween" dxfId="0" stopIfTrue="1">
      <formula>M$17-$S$17*0.8</formula>
      <formula>M$17+$S$17*0.8</formula>
    </cfRule>
  </conditionalFormatting>
  <conditionalFormatting sqref="K76:K77">
    <cfRule type="containsText" priority="97" operator="containsText" dxfId="140" text="Fail">
      <formula>NOT(ISERROR(SEARCH("Fail",K76)))</formula>
    </cfRule>
    <cfRule type="containsText" priority="100" operator="containsText" dxfId="139" text="Pass">
      <formula>NOT(ISERROR(SEARCH("Pass",K76)))</formula>
    </cfRule>
  </conditionalFormatting>
  <conditionalFormatting sqref="M77:Q77">
    <cfRule type="cellIs" priority="98" operator="notBetween" dxfId="1" stopIfTrue="1">
      <formula>M$17-$S$17</formula>
      <formula>M$17+$S$17</formula>
    </cfRule>
    <cfRule type="cellIs" priority="99" operator="notBetween" dxfId="0" stopIfTrue="1">
      <formula>M$17-$S$17*0.8</formula>
      <formula>M$17+$S$17*0.8</formula>
    </cfRule>
  </conditionalFormatting>
  <conditionalFormatting sqref="K78:K79">
    <cfRule type="containsText" priority="91" operator="containsText" dxfId="140" text="Fail">
      <formula>NOT(ISERROR(SEARCH("Fail",K78)))</formula>
    </cfRule>
    <cfRule type="containsText" priority="94" operator="containsText" dxfId="139" text="Pass">
      <formula>NOT(ISERROR(SEARCH("Pass",K78)))</formula>
    </cfRule>
  </conditionalFormatting>
  <conditionalFormatting sqref="M79:Q79">
    <cfRule type="cellIs" priority="92" operator="notBetween" dxfId="1" stopIfTrue="1">
      <formula>M$17-$S$17</formula>
      <formula>M$17+$S$17</formula>
    </cfRule>
    <cfRule type="cellIs" priority="93" operator="notBetween" dxfId="0" stopIfTrue="1">
      <formula>M$17-$S$17*0.8</formula>
      <formula>M$17+$S$17*0.8</formula>
    </cfRule>
  </conditionalFormatting>
  <conditionalFormatting sqref="K80:K81">
    <cfRule type="containsText" priority="85" operator="containsText" dxfId="140" text="Fail">
      <formula>NOT(ISERROR(SEARCH("Fail",K80)))</formula>
    </cfRule>
    <cfRule type="containsText" priority="88" operator="containsText" dxfId="139" text="Pass">
      <formula>NOT(ISERROR(SEARCH("Pass",K80)))</formula>
    </cfRule>
  </conditionalFormatting>
  <conditionalFormatting sqref="M81:Q81">
    <cfRule type="cellIs" priority="86" operator="notBetween" dxfId="1" stopIfTrue="1">
      <formula>M$17-$S$17</formula>
      <formula>M$17+$S$17</formula>
    </cfRule>
    <cfRule type="cellIs" priority="87" operator="notBetween" dxfId="0" stopIfTrue="1">
      <formula>M$17-$S$17*0.8</formula>
      <formula>M$17+$S$17*0.8</formula>
    </cfRule>
  </conditionalFormatting>
  <conditionalFormatting sqref="F83:J83">
    <cfRule type="cellIs" priority="83" operator="notBetween" dxfId="1" stopIfTrue="1">
      <formula>F$17-$S$17</formula>
      <formula>F$17+$S$17</formula>
    </cfRule>
    <cfRule type="cellIs" priority="84" operator="notBetween" dxfId="0" stopIfTrue="1">
      <formula>F$17-$S$17*0.8</formula>
      <formula>F$17+$S$17*0.8</formula>
    </cfRule>
  </conditionalFormatting>
  <conditionalFormatting sqref="K82:K83">
    <cfRule type="containsText" priority="79" operator="containsText" dxfId="140" text="Fail">
      <formula>NOT(ISERROR(SEARCH("Fail",K82)))</formula>
    </cfRule>
    <cfRule type="containsText" priority="82" operator="containsText" dxfId="139" text="Pass">
      <formula>NOT(ISERROR(SEARCH("Pass",K82)))</formula>
    </cfRule>
  </conditionalFormatting>
  <conditionalFormatting sqref="M83:Q83">
    <cfRule type="cellIs" priority="80" operator="notBetween" dxfId="1" stopIfTrue="1">
      <formula>M$17-$S$17</formula>
      <formula>M$17+$S$17</formula>
    </cfRule>
    <cfRule type="cellIs" priority="81" operator="notBetween" dxfId="0" stopIfTrue="1">
      <formula>M$17-$S$17*0.8</formula>
      <formula>M$17+$S$17*0.8</formula>
    </cfRule>
  </conditionalFormatting>
  <conditionalFormatting sqref="F85:J85">
    <cfRule type="cellIs" priority="77" operator="notBetween" dxfId="1" stopIfTrue="1">
      <formula>F$17-$S$17</formula>
      <formula>F$17+$S$17</formula>
    </cfRule>
    <cfRule type="cellIs" priority="78" operator="notBetween" dxfId="0" stopIfTrue="1">
      <formula>F$17-$S$17*0.8</formula>
      <formula>F$17+$S$17*0.8</formula>
    </cfRule>
  </conditionalFormatting>
  <conditionalFormatting sqref="K84:K85">
    <cfRule type="containsText" priority="73" operator="containsText" dxfId="140" text="Fail">
      <formula>NOT(ISERROR(SEARCH("Fail",K84)))</formula>
    </cfRule>
    <cfRule type="containsText" priority="76" operator="containsText" dxfId="139" text="Pass">
      <formula>NOT(ISERROR(SEARCH("Pass",K84)))</formula>
    </cfRule>
  </conditionalFormatting>
  <conditionalFormatting sqref="M85:Q85">
    <cfRule type="cellIs" priority="74" operator="notBetween" dxfId="1" stopIfTrue="1">
      <formula>M$17-$S$17</formula>
      <formula>M$17+$S$17</formula>
    </cfRule>
    <cfRule type="cellIs" priority="75" operator="notBetween" dxfId="0" stopIfTrue="1">
      <formula>M$17-$S$17*0.8</formula>
      <formula>M$17+$S$17*0.8</formula>
    </cfRule>
  </conditionalFormatting>
  <conditionalFormatting sqref="F87:J87">
    <cfRule type="cellIs" priority="71" operator="notBetween" dxfId="1" stopIfTrue="1">
      <formula>F$17-$S$17</formula>
      <formula>F$17+$S$17</formula>
    </cfRule>
    <cfRule type="cellIs" priority="72" operator="notBetween" dxfId="0" stopIfTrue="1">
      <formula>F$17-$S$17*0.8</formula>
      <formula>F$17+$S$17*0.8</formula>
    </cfRule>
  </conditionalFormatting>
  <conditionalFormatting sqref="K86:K87">
    <cfRule type="containsText" priority="67" operator="containsText" dxfId="140" text="Fail">
      <formula>NOT(ISERROR(SEARCH("Fail",K86)))</formula>
    </cfRule>
    <cfRule type="containsText" priority="70" operator="containsText" dxfId="139" text="Pass">
      <formula>NOT(ISERROR(SEARCH("Pass",K86)))</formula>
    </cfRule>
  </conditionalFormatting>
  <conditionalFormatting sqref="M87:Q87">
    <cfRule type="cellIs" priority="68" operator="notBetween" dxfId="1" stopIfTrue="1">
      <formula>M$17-$S$17</formula>
      <formula>M$17+$S$17</formula>
    </cfRule>
    <cfRule type="cellIs" priority="69" operator="notBetween" dxfId="0" stopIfTrue="1">
      <formula>M$17-$S$17*0.8</formula>
      <formula>M$17+$S$17*0.8</formula>
    </cfRule>
  </conditionalFormatting>
  <conditionalFormatting sqref="F89:J89">
    <cfRule type="cellIs" priority="65" operator="notBetween" dxfId="1" stopIfTrue="1">
      <formula>F$17-$S$17</formula>
      <formula>F$17+$S$17</formula>
    </cfRule>
    <cfRule type="cellIs" priority="66" operator="notBetween" dxfId="0" stopIfTrue="1">
      <formula>F$17-$S$17*0.8</formula>
      <formula>F$17+$S$17*0.8</formula>
    </cfRule>
  </conditionalFormatting>
  <conditionalFormatting sqref="K88:K89">
    <cfRule type="containsText" priority="61" operator="containsText" dxfId="140" text="Fail">
      <formula>NOT(ISERROR(SEARCH("Fail",K88)))</formula>
    </cfRule>
    <cfRule type="containsText" priority="64" operator="containsText" dxfId="139" text="Pass">
      <formula>NOT(ISERROR(SEARCH("Pass",K88)))</formula>
    </cfRule>
  </conditionalFormatting>
  <conditionalFormatting sqref="M89:Q89">
    <cfRule type="cellIs" priority="62" operator="notBetween" dxfId="1" stopIfTrue="1">
      <formula>M$17-$S$17</formula>
      <formula>M$17+$S$17</formula>
    </cfRule>
    <cfRule type="cellIs" priority="63" operator="notBetween" dxfId="0" stopIfTrue="1">
      <formula>M$17-$S$17*0.8</formula>
      <formula>M$17+$S$17*0.8</formula>
    </cfRule>
  </conditionalFormatting>
  <conditionalFormatting sqref="F91:J91">
    <cfRule type="cellIs" priority="59" operator="notBetween" dxfId="1" stopIfTrue="1">
      <formula>F$17-$S$17</formula>
      <formula>F$17+$S$17</formula>
    </cfRule>
    <cfRule type="cellIs" priority="60" operator="notBetween" dxfId="0" stopIfTrue="1">
      <formula>F$17-$S$17*0.8</formula>
      <formula>F$17+$S$17*0.8</formula>
    </cfRule>
  </conditionalFormatting>
  <conditionalFormatting sqref="K90:K91">
    <cfRule type="containsText" priority="55" operator="containsText" dxfId="140" text="Fail">
      <formula>NOT(ISERROR(SEARCH("Fail",K90)))</formula>
    </cfRule>
    <cfRule type="containsText" priority="58" operator="containsText" dxfId="139" text="Pass">
      <formula>NOT(ISERROR(SEARCH("Pass",K90)))</formula>
    </cfRule>
  </conditionalFormatting>
  <conditionalFormatting sqref="M91:Q91">
    <cfRule type="cellIs" priority="56" operator="notBetween" dxfId="1" stopIfTrue="1">
      <formula>M$17-$S$17</formula>
      <formula>M$17+$S$17</formula>
    </cfRule>
    <cfRule type="cellIs" priority="57" operator="notBetween" dxfId="0" stopIfTrue="1">
      <formula>M$17-$S$17*0.8</formula>
      <formula>M$17+$S$17*0.8</formula>
    </cfRule>
  </conditionalFormatting>
  <conditionalFormatting sqref="F93:J93">
    <cfRule type="cellIs" priority="53" operator="notBetween" dxfId="1" stopIfTrue="1">
      <formula>F$17-$S$17</formula>
      <formula>F$17+$S$17</formula>
    </cfRule>
    <cfRule type="cellIs" priority="54" operator="notBetween" dxfId="0" stopIfTrue="1">
      <formula>F$17-$S$17*0.8</formula>
      <formula>F$17+$S$17*0.8</formula>
    </cfRule>
  </conditionalFormatting>
  <conditionalFormatting sqref="K92:K93">
    <cfRule type="containsText" priority="49" operator="containsText" dxfId="140" text="Fail">
      <formula>NOT(ISERROR(SEARCH("Fail",K92)))</formula>
    </cfRule>
    <cfRule type="containsText" priority="52" operator="containsText" dxfId="139" text="Pass">
      <formula>NOT(ISERROR(SEARCH("Pass",K92)))</formula>
    </cfRule>
  </conditionalFormatting>
  <conditionalFormatting sqref="M93:Q93">
    <cfRule type="cellIs" priority="50" operator="notBetween" dxfId="1" stopIfTrue="1">
      <formula>M$17-$S$17</formula>
      <formula>M$17+$S$17</formula>
    </cfRule>
    <cfRule type="cellIs" priority="51" operator="notBetween" dxfId="0" stopIfTrue="1">
      <formula>M$17-$S$17*0.8</formula>
      <formula>M$17+$S$17*0.8</formula>
    </cfRule>
  </conditionalFormatting>
  <conditionalFormatting sqref="F95:J95">
    <cfRule type="cellIs" priority="47" operator="notBetween" dxfId="1" stopIfTrue="1">
      <formula>F$17-$S$17</formula>
      <formula>F$17+$S$17</formula>
    </cfRule>
    <cfRule type="cellIs" priority="48" operator="notBetween" dxfId="0" stopIfTrue="1">
      <formula>F$17-$S$17*0.8</formula>
      <formula>F$17+$S$17*0.8</formula>
    </cfRule>
  </conditionalFormatting>
  <conditionalFormatting sqref="K94:K95">
    <cfRule type="containsText" priority="43" operator="containsText" dxfId="140" text="Fail">
      <formula>NOT(ISERROR(SEARCH("Fail",K94)))</formula>
    </cfRule>
    <cfRule type="containsText" priority="46" operator="containsText" dxfId="139" text="Pass">
      <formula>NOT(ISERROR(SEARCH("Pass",K94)))</formula>
    </cfRule>
  </conditionalFormatting>
  <conditionalFormatting sqref="M95:Q95">
    <cfRule type="cellIs" priority="44" operator="notBetween" dxfId="1" stopIfTrue="1">
      <formula>M$17-$S$17</formula>
      <formula>M$17+$S$17</formula>
    </cfRule>
    <cfRule type="cellIs" priority="45" operator="notBetween" dxfId="0" stopIfTrue="1">
      <formula>M$17-$S$17*0.8</formula>
      <formula>M$17+$S$17*0.8</formula>
    </cfRule>
  </conditionalFormatting>
  <conditionalFormatting sqref="F97:J97">
    <cfRule type="cellIs" priority="41" operator="notBetween" dxfId="1" stopIfTrue="1">
      <formula>F$17-$S$17</formula>
      <formula>F$17+$S$17</formula>
    </cfRule>
    <cfRule type="cellIs" priority="42" operator="notBetween" dxfId="0" stopIfTrue="1">
      <formula>F$17-$S$17*0.8</formula>
      <formula>F$17+$S$17*0.8</formula>
    </cfRule>
  </conditionalFormatting>
  <conditionalFormatting sqref="K96:K97">
    <cfRule type="containsText" priority="37" operator="containsText" dxfId="140" text="Fail">
      <formula>NOT(ISERROR(SEARCH("Fail",K96)))</formula>
    </cfRule>
    <cfRule type="containsText" priority="40" operator="containsText" dxfId="139" text="Pass">
      <formula>NOT(ISERROR(SEARCH("Pass",K96)))</formula>
    </cfRule>
  </conditionalFormatting>
  <conditionalFormatting sqref="M97:Q97">
    <cfRule type="cellIs" priority="38" operator="notBetween" dxfId="1" stopIfTrue="1">
      <formula>M$17-$S$17</formula>
      <formula>M$17+$S$17</formula>
    </cfRule>
    <cfRule type="cellIs" priority="39" operator="notBetween" dxfId="0" stopIfTrue="1">
      <formula>M$17-$S$17*0.8</formula>
      <formula>M$17+$S$17*0.8</formula>
    </cfRule>
  </conditionalFormatting>
  <conditionalFormatting sqref="F99:J99">
    <cfRule type="cellIs" priority="35" operator="notBetween" dxfId="1" stopIfTrue="1">
      <formula>F$17-$S$17</formula>
      <formula>F$17+$S$17</formula>
    </cfRule>
    <cfRule type="cellIs" priority="36" operator="notBetween" dxfId="0" stopIfTrue="1">
      <formula>F$17-$S$17*0.8</formula>
      <formula>F$17+$S$17*0.8</formula>
    </cfRule>
  </conditionalFormatting>
  <conditionalFormatting sqref="K98:K99">
    <cfRule type="containsText" priority="31" operator="containsText" dxfId="140" text="Fail">
      <formula>NOT(ISERROR(SEARCH("Fail",K98)))</formula>
    </cfRule>
    <cfRule type="containsText" priority="34" operator="containsText" dxfId="139" text="Pass">
      <formula>NOT(ISERROR(SEARCH("Pass",K98)))</formula>
    </cfRule>
  </conditionalFormatting>
  <conditionalFormatting sqref="M99:Q99">
    <cfRule type="cellIs" priority="32" operator="notBetween" dxfId="1" stopIfTrue="1">
      <formula>M$17-$S$17</formula>
      <formula>M$17+$S$17</formula>
    </cfRule>
    <cfRule type="cellIs" priority="33" operator="notBetween" dxfId="0" stopIfTrue="1">
      <formula>M$17-$S$17*0.8</formula>
      <formula>M$17+$S$17*0.8</formula>
    </cfRule>
  </conditionalFormatting>
  <conditionalFormatting sqref="F101:J101">
    <cfRule type="cellIs" priority="29" operator="notBetween" dxfId="1" stopIfTrue="1">
      <formula>F$17-$S$17</formula>
      <formula>F$17+$S$17</formula>
    </cfRule>
    <cfRule type="cellIs" priority="30" operator="notBetween" dxfId="0" stopIfTrue="1">
      <formula>F$17-$S$17*0.8</formula>
      <formula>F$17+$S$17*0.8</formula>
    </cfRule>
  </conditionalFormatting>
  <conditionalFormatting sqref="K100:K101">
    <cfRule type="containsText" priority="25" operator="containsText" dxfId="140" text="Fail">
      <formula>NOT(ISERROR(SEARCH("Fail",K100)))</formula>
    </cfRule>
    <cfRule type="containsText" priority="28" operator="containsText" dxfId="139" text="Pass">
      <formula>NOT(ISERROR(SEARCH("Pass",K100)))</formula>
    </cfRule>
  </conditionalFormatting>
  <conditionalFormatting sqref="M101:Q101">
    <cfRule type="cellIs" priority="26" operator="notBetween" dxfId="1" stopIfTrue="1">
      <formula>M$17-$S$17</formula>
      <formula>M$17+$S$17</formula>
    </cfRule>
    <cfRule type="cellIs" priority="27" operator="notBetween" dxfId="0" stopIfTrue="1">
      <formula>M$17-$S$17*0.8</formula>
      <formula>M$17+$S$17*0.8</formula>
    </cfRule>
  </conditionalFormatting>
  <conditionalFormatting sqref="F103:J103">
    <cfRule type="cellIs" priority="23" operator="notBetween" dxfId="1" stopIfTrue="1">
      <formula>F$17-$S$17</formula>
      <formula>F$17+$S$17</formula>
    </cfRule>
    <cfRule type="cellIs" priority="24" operator="notBetween" dxfId="0" stopIfTrue="1">
      <formula>F$17-$S$17*0.8</formula>
      <formula>F$17+$S$17*0.8</formula>
    </cfRule>
  </conditionalFormatting>
  <conditionalFormatting sqref="K102:K103">
    <cfRule type="containsText" priority="19" operator="containsText" dxfId="140" text="Fail">
      <formula>NOT(ISERROR(SEARCH("Fail",K102)))</formula>
    </cfRule>
    <cfRule type="containsText" priority="22" operator="containsText" dxfId="139" text="Pass">
      <formula>NOT(ISERROR(SEARCH("Pass",K102)))</formula>
    </cfRule>
  </conditionalFormatting>
  <conditionalFormatting sqref="M103:Q103">
    <cfRule type="cellIs" priority="20" operator="notBetween" dxfId="1" stopIfTrue="1">
      <formula>M$17-$S$17</formula>
      <formula>M$17+$S$17</formula>
    </cfRule>
    <cfRule type="cellIs" priority="21" operator="notBetween" dxfId="0" stopIfTrue="1">
      <formula>M$17-$S$17*0.8</formula>
      <formula>M$17+$S$17*0.8</formula>
    </cfRule>
  </conditionalFormatting>
  <conditionalFormatting sqref="G69:J69">
    <cfRule type="cellIs" priority="17" operator="notBetween" dxfId="1" stopIfTrue="1">
      <formula>G$68-$S$68</formula>
      <formula>G$68+$S$68</formula>
    </cfRule>
    <cfRule type="cellIs" priority="18" operator="notBetween" dxfId="0" stopIfTrue="1">
      <formula>G$68-$S$68*0.8</formula>
      <formula>G$68+$S$68*0.8</formula>
    </cfRule>
  </conditionalFormatting>
  <conditionalFormatting sqref="F75:J75">
    <cfRule type="cellIs" priority="15" operator="notBetween" dxfId="1" stopIfTrue="1">
      <formula>F$72-$S$72</formula>
      <formula>F$72+$S$72</formula>
    </cfRule>
    <cfRule type="cellIs" priority="16" operator="notBetween" dxfId="0" stopIfTrue="1">
      <formula>F$72-$S$72*0.8</formula>
      <formula>F$72+$S$72*0.8</formula>
    </cfRule>
  </conditionalFormatting>
  <conditionalFormatting sqref="F77:J77">
    <cfRule type="cellIs" priority="13" operator="notBetween" dxfId="1" stopIfTrue="1">
      <formula>F$72-$S$72</formula>
      <formula>F$72+$S$72</formula>
    </cfRule>
    <cfRule type="cellIs" priority="14" operator="notBetween" dxfId="0" stopIfTrue="1">
      <formula>F$72-$S$72*0.8</formula>
      <formula>F$72+$S$72*0.8</formula>
    </cfRule>
  </conditionalFormatting>
  <conditionalFormatting sqref="F79:J79">
    <cfRule type="cellIs" priority="11" operator="notBetween" dxfId="1" stopIfTrue="1">
      <formula>F$72-$S$72</formula>
      <formula>F$72+$S$72</formula>
    </cfRule>
    <cfRule type="cellIs" priority="12" operator="notBetween" dxfId="0" stopIfTrue="1">
      <formula>F$72-$S$72*0.8</formula>
      <formula>F$72+$S$72*0.8</formula>
    </cfRule>
  </conditionalFormatting>
  <conditionalFormatting sqref="F81:J81">
    <cfRule type="cellIs" priority="9" operator="notBetween" dxfId="1" stopIfTrue="1">
      <formula>F$72-$S$72</formula>
      <formula>F$72+$S$72</formula>
    </cfRule>
    <cfRule type="cellIs" priority="10" operator="notBetween" dxfId="0" stopIfTrue="1">
      <formula>F$72-$S$72*0.8</formula>
      <formula>F$72+$S$72*0.8</formula>
    </cfRule>
  </conditionalFormatting>
  <conditionalFormatting sqref="M40:Q40">
    <cfRule type="cellIs" priority="7" operator="notBetween" dxfId="1" stopIfTrue="1">
      <formula>M$39-$S$39</formula>
      <formula>M$39+$S$39</formula>
    </cfRule>
    <cfRule type="cellIs" priority="8" operator="notBetween" dxfId="0" stopIfTrue="1">
      <formula>M$39-$S$39*0.8</formula>
      <formula>M$39+$S$39*0.8</formula>
    </cfRule>
  </conditionalFormatting>
  <conditionalFormatting sqref="M26:Q26">
    <cfRule type="cellIs" priority="5" operator="notBetween" dxfId="1" stopIfTrue="1">
      <formula>M$25-$S$25</formula>
      <formula>M$25+$S$25</formula>
    </cfRule>
    <cfRule type="cellIs" priority="6" operator="notBetween" dxfId="0" stopIfTrue="1">
      <formula>M$25-$S$25*0.8</formula>
      <formula>M$25+$S$25*0.8</formula>
    </cfRule>
  </conditionalFormatting>
  <conditionalFormatting sqref="F67:J67">
    <cfRule type="cellIs" priority="3" operator="notBetween" dxfId="1" stopIfTrue="1">
      <formula>F$64-$S$64</formula>
      <formula>F$64+$S$64</formula>
    </cfRule>
    <cfRule type="cellIs" priority="4" operator="notBetween" dxfId="0" stopIfTrue="1">
      <formula>F$64-$S$64*0.8</formula>
      <formula>F$64+$S$64*0.8</formula>
    </cfRule>
  </conditionalFormatting>
  <conditionalFormatting sqref="G71:J71">
    <cfRule type="cellIs" priority="1" operator="notBetween" dxfId="1" stopIfTrue="1">
      <formula>G$70-$S$70</formula>
      <formula>G$70+$S$70</formula>
    </cfRule>
    <cfRule type="cellIs" priority="2" operator="notBetween" dxfId="0" stopIfTrue="1">
      <formula>G$70-$S$70*0.8</formula>
      <formula>G$70+$S$70*0.8</formula>
    </cfRule>
  </conditionalFormatting>
  <dataValidations count="3">
    <dataValidation sqref="K9:K48 K64:K103" showDropDown="0" showInputMessage="1" showErrorMessage="1" allowBlank="0" type="list">
      <formula1>"-, Pass, Fail"</formula1>
    </dataValidation>
    <dataValidation sqref="L9:L48 L64:L103" showDropDown="0" showInputMessage="1" showErrorMessage="1" allowBlank="0" type="list">
      <formula1>"-, A, B, C"</formula1>
    </dataValidation>
    <dataValidation sqref="S4 S59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65" fitToHeight="0"/>
  <headerFooter alignWithMargins="0">
    <oddHeader>&amp;L&amp;G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55" min="0" max="16383" man="1"/>
  </rowBreaks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9">
    <tabColor rgb="FFE0E0E0"/>
    <outlinePr summaryBelow="1" summaryRight="1"/>
    <pageSetUpPr fitToPage="1"/>
  </sheetPr>
  <dimension ref="A1:U111"/>
  <sheetViews>
    <sheetView topLeftCell="A79" zoomScale="90" zoomScaleNormal="90" workbookViewId="0">
      <selection activeCell="U116" sqref="U116"/>
    </sheetView>
  </sheetViews>
  <sheetFormatPr baseColWidth="8" defaultColWidth="9.1796875" defaultRowHeight="12.5"/>
  <cols>
    <col width="3.7265625" customWidth="1" style="1" min="1" max="1"/>
    <col width="11.7265625" bestFit="1" customWidth="1" style="1" min="2" max="2"/>
    <col width="20.7265625" customWidth="1" style="3" min="3" max="3"/>
    <col width="9.453125" bestFit="1" customWidth="1" style="1" min="4" max="4"/>
    <col width="21.81640625" customWidth="1" style="1" min="5" max="5"/>
    <col width="8.7265625" customWidth="1" style="1" min="6" max="9"/>
    <col width="7.90625" bestFit="1" customWidth="1" style="1" min="10" max="10"/>
    <col width="7.81640625" customWidth="1" style="1" min="11" max="11"/>
    <col width="8.7265625" customWidth="1" style="1" min="12" max="17"/>
    <col width="9.7265625" customWidth="1" style="1" min="18" max="18"/>
    <col width="15" bestFit="1" customWidth="1" style="1" min="19" max="19"/>
    <col width="18.453125" bestFit="1" customWidth="1" style="1" min="20" max="20"/>
    <col width="9.1796875" customWidth="1" style="1" min="21" max="16384"/>
  </cols>
  <sheetData>
    <row r="1" ht="13" customFormat="1" customHeight="1" s="2" thickTop="1">
      <c r="A1" s="38" t="n"/>
      <c r="B1" s="39" t="n"/>
      <c r="C1" s="39" t="n"/>
      <c r="D1" s="39" t="n"/>
      <c r="E1" s="39" t="n"/>
      <c r="F1" s="39" t="n"/>
      <c r="G1" s="39" t="n"/>
      <c r="H1" s="39" t="n"/>
      <c r="I1" s="39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83" t="n"/>
    </row>
    <row r="2" ht="25" customFormat="1" customHeight="1" s="6">
      <c r="A2" s="494" t="inlineStr">
        <is>
          <t>Test Bed Pressure Measurement Calibration</t>
        </is>
      </c>
      <c r="B2" s="461" t="n"/>
      <c r="C2" s="461" t="n"/>
      <c r="D2" s="461" t="n"/>
      <c r="E2" s="461" t="n"/>
      <c r="F2" s="461" t="n"/>
      <c r="G2" s="461" t="n"/>
      <c r="H2" s="461" t="n"/>
      <c r="I2" s="461" t="n"/>
      <c r="J2" s="461" t="n"/>
      <c r="K2" s="461" t="n"/>
      <c r="L2" s="461" t="n"/>
      <c r="M2" s="461" t="n"/>
      <c r="N2" s="461" t="n"/>
      <c r="O2" s="461" t="n"/>
      <c r="P2" s="461" t="n"/>
      <c r="Q2" s="461" t="n"/>
      <c r="R2" s="461" t="n"/>
      <c r="S2" s="461" t="n"/>
      <c r="T2" s="461" t="n"/>
      <c r="U2" s="495" t="n"/>
    </row>
    <row r="3" ht="15" customFormat="1" customHeight="1" s="6" thickBot="1">
      <c r="A3" s="40" t="n"/>
      <c r="B3" s="12" t="n"/>
      <c r="C3" s="13" t="n"/>
      <c r="D3" s="13" t="n"/>
      <c r="E3" s="13" t="n"/>
      <c r="F3" s="13" t="n"/>
      <c r="G3" s="13" t="n"/>
      <c r="H3" s="12" t="n"/>
      <c r="I3" s="84" t="n"/>
      <c r="J3" s="12" t="n"/>
      <c r="K3" s="12" t="n"/>
      <c r="L3" s="12" t="n"/>
      <c r="M3" s="12" t="n"/>
      <c r="N3" s="12" t="n"/>
      <c r="O3" s="12" t="n"/>
      <c r="P3" s="12" t="n"/>
      <c r="Q3" s="12" t="n"/>
      <c r="R3" s="12" t="n"/>
      <c r="S3" s="12" t="n"/>
      <c r="T3" s="12" t="n"/>
      <c r="U3" s="41" t="n"/>
    </row>
    <row r="4" ht="15" customFormat="1" customHeight="1" s="2" thickBot="1">
      <c r="A4" s="40" t="n"/>
      <c r="B4" s="11" t="inlineStr">
        <is>
          <t xml:space="preserve">Job No. </t>
        </is>
      </c>
      <c r="C4" s="191">
        <f>Title!C4</f>
        <v/>
      </c>
      <c r="D4" s="25" t="n"/>
      <c r="E4" s="183" t="n"/>
      <c r="F4" s="12" t="n"/>
      <c r="G4" s="11" t="inlineStr">
        <is>
          <t xml:space="preserve">Calibrated By. </t>
        </is>
      </c>
      <c r="H4" s="496">
        <f>Title!C3</f>
        <v/>
      </c>
      <c r="I4" s="472" t="n"/>
      <c r="J4" s="12" t="n"/>
      <c r="K4" s="12" t="n"/>
      <c r="L4" s="11" t="inlineStr">
        <is>
          <t xml:space="preserve">Calibration Date. </t>
        </is>
      </c>
      <c r="M4" s="497">
        <f>Title!C9</f>
        <v/>
      </c>
      <c r="N4" s="471" t="n"/>
      <c r="O4" s="472" t="n"/>
      <c r="P4" s="14" t="n"/>
      <c r="Q4" s="11" t="n"/>
      <c r="R4" s="11" t="inlineStr">
        <is>
          <t xml:space="preserve">Bed No. </t>
        </is>
      </c>
      <c r="S4" s="498">
        <f>Title!F3</f>
        <v/>
      </c>
      <c r="T4" s="472" t="n"/>
      <c r="U4" s="85" t="n"/>
    </row>
    <row r="5" ht="15" customFormat="1" customHeight="1" s="2">
      <c r="A5" s="40" t="n"/>
      <c r="B5" s="12" t="n"/>
      <c r="C5" s="13" t="n"/>
      <c r="D5" s="13" t="n"/>
      <c r="E5" s="13" t="n"/>
      <c r="F5" s="11" t="n"/>
      <c r="G5" s="13" t="n"/>
      <c r="H5" s="11" t="n"/>
      <c r="I5" s="11" t="n"/>
      <c r="J5" s="14" t="n"/>
      <c r="K5" s="14" t="n"/>
      <c r="L5" s="14" t="n"/>
      <c r="M5" s="14" t="n"/>
      <c r="N5" s="12" t="n"/>
      <c r="O5" s="14" t="n"/>
      <c r="P5" s="14" t="n"/>
      <c r="Q5" s="14" t="n"/>
      <c r="R5" s="14" t="n"/>
      <c r="S5" s="14" t="n"/>
      <c r="T5" s="14" t="n"/>
      <c r="U5" s="42" t="n"/>
    </row>
    <row r="6" ht="15" customFormat="1" customHeight="1" s="4">
      <c r="A6" s="43" t="inlineStr">
        <is>
          <t>Acceptable Deviation: 0.2% Full Scale.  Adjust if error &gt;80% accepted tolerance.</t>
        </is>
      </c>
      <c r="B6" s="13" t="n"/>
      <c r="C6" s="13" t="n"/>
      <c r="D6" s="13" t="n"/>
      <c r="E6" s="13" t="n"/>
      <c r="F6" s="13" t="n"/>
      <c r="G6" s="86" t="n"/>
      <c r="H6" s="86" t="n"/>
      <c r="I6" s="86" t="n"/>
      <c r="J6" s="13" t="n"/>
      <c r="K6" s="13" t="n"/>
      <c r="L6" s="13" t="n"/>
      <c r="M6" s="13" t="n"/>
      <c r="N6" s="13" t="n"/>
      <c r="O6" s="13" t="n"/>
      <c r="P6" s="13" t="n"/>
      <c r="Q6" s="13" t="n"/>
      <c r="R6" s="13" t="n"/>
      <c r="S6" s="13" t="n"/>
      <c r="T6" s="13" t="n"/>
      <c r="U6" s="44" t="n"/>
    </row>
    <row r="7" ht="15" customFormat="1" customHeight="1" s="4" thickBot="1">
      <c r="A7" s="40" t="n"/>
      <c r="B7" s="84" t="n"/>
      <c r="C7" s="84" t="n"/>
      <c r="D7" s="84" t="n"/>
      <c r="E7" s="84" t="n"/>
      <c r="F7" s="84" t="n"/>
      <c r="G7" s="84" t="n"/>
      <c r="H7" s="84" t="n"/>
      <c r="I7" s="84" t="n"/>
      <c r="J7" s="84" t="n"/>
      <c r="K7" s="8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42" t="n"/>
    </row>
    <row r="8" ht="15" customFormat="1" customHeight="1" s="2" thickBot="1">
      <c r="A8" s="40" t="n"/>
      <c r="B8" s="26" t="inlineStr">
        <is>
          <t>Channel No.</t>
        </is>
      </c>
      <c r="C8" s="26" t="inlineStr">
        <is>
          <t>Channel Name</t>
        </is>
      </c>
      <c r="D8" s="87" t="inlineStr">
        <is>
          <t>Range Min</t>
        </is>
      </c>
      <c r="E8" s="87" t="inlineStr">
        <is>
          <t>Range Max</t>
        </is>
      </c>
      <c r="F8" s="499" t="inlineStr">
        <is>
          <t>Pre-Calibration Set Points</t>
        </is>
      </c>
      <c r="G8" s="476" t="n"/>
      <c r="H8" s="476" t="n"/>
      <c r="I8" s="476" t="n"/>
      <c r="J8" s="477" t="n"/>
      <c r="K8" s="26" t="inlineStr">
        <is>
          <t>Result</t>
        </is>
      </c>
      <c r="L8" s="88" t="inlineStr">
        <is>
          <t>PC Used</t>
        </is>
      </c>
      <c r="M8" s="499" t="inlineStr">
        <is>
          <t>Post-Calibration Set Points</t>
        </is>
      </c>
      <c r="N8" s="476" t="n"/>
      <c r="O8" s="476" t="n"/>
      <c r="P8" s="476" t="n"/>
      <c r="Q8" s="477" t="n"/>
      <c r="R8" s="26" t="inlineStr">
        <is>
          <t>Units</t>
        </is>
      </c>
      <c r="S8" s="89" t="inlineStr">
        <is>
          <t>Tolerance</t>
        </is>
      </c>
      <c r="T8" s="26" t="inlineStr">
        <is>
          <t>Transducer Serial No.</t>
        </is>
      </c>
      <c r="U8" s="42" t="n"/>
    </row>
    <row r="9" ht="15" customFormat="1" customHeight="1" s="2" thickBot="1">
      <c r="A9" s="40" t="n"/>
      <c r="B9" s="337" t="n">
        <v>41</v>
      </c>
      <c r="C9" s="337" t="inlineStr">
        <is>
          <t>PTX41</t>
        </is>
      </c>
      <c r="D9" s="337" t="n">
        <v>-20</v>
      </c>
      <c r="E9" s="500" t="n">
        <v>0</v>
      </c>
      <c r="F9" s="163">
        <f>IF(AND(D9&lt;0,E9=0)=TRUE,0.98*D9,IF(AND(D9=0,E9&gt;0)=TRUE,0,IF(D9=-E9,0.98*D9,IF(AND(D9=-20,E9=100)=TRUE,0.98*D9,IF(AND(D9=-35,E9=300)=TRUE,0.98*D9,IF(AND(D9=-100,E9=160)=TRUE,80,IF(AND(D9=-100,E9=900)=TRUE,80,"x")))))))</f>
        <v/>
      </c>
      <c r="G9" s="90">
        <f>IF(AND(D9&lt;0,E9=0)=TRUE,0.75*D9,IF(AND(D9=0,E9&gt;0)=TRUE,0.25*E9,IF(D9=-E9,0.5*D9,IF(AND(D9=-20,E9=100)=TRUE,0,IF(AND(D9=-35,E9=300)=TRUE,0,IF(AND(D9=-100,E9=160)=TRUE,0,IF(AND(D9=-100,E9=900)=TRUE,0,"x")))))))</f>
        <v/>
      </c>
      <c r="H9" s="90">
        <f>IF(AND(D9&lt;0,E9=0)=TRUE,0.5*D9,IF(AND(D9=0,E9&gt;0)=TRUE,0.5*E9,IF(D9=-E9,0,IF(AND(D9=-20,E9=100)=TRUE,0.33*E9,IF(AND(D9=-35,E9=300)=TRUE,0.33*E9,IF(AND(D9=-100,E9=160)=TRUE,0.33*E9,IF(AND(D9=-100,E9=900)=TRUE,0.33*E9,"x")))))))</f>
        <v/>
      </c>
      <c r="I9" s="90">
        <f>IF(AND(D9&lt;0,E9=0)=TRUE,0.25*D9,IF(AND(D9=0,E9&gt;0)=TRUE,0.75*E9,IF(D9=-E9,0.5*E9,IF(AND(D9=-20,E9=100)=TRUE,0.66*E9,IF(AND(D9=-35,E9=300)=TRUE,0.66*E9,IF(AND(D9=-100,E9=160)=TRUE,0.66*E9,IF(AND(D9=-100,E9=900)=TRUE,0.66*E9,"x")))))))</f>
        <v/>
      </c>
      <c r="J9" s="91">
        <f>IF(AND(D9&lt;0,E9=0)=TRUE,0*D9,IF(AND(D9=0,E9&gt;0)=TRUE,0.98*E9,IF(D9=-E9,0.98*E9,IF(AND(D9=-20,E9=100)=TRUE,0.98*E9,IF(AND(D9=-35,E9=300)=TRUE,0.98*E9,IF(AND(D9=-100,E9=160)=TRUE,0.98*E9,IF(AND(D9=-100,E9=900)=TRUE,0.98*E9,"x")))))))</f>
        <v/>
      </c>
      <c r="K9" s="501" t="inlineStr">
        <is>
          <t>Fail</t>
        </is>
      </c>
      <c r="L9" s="502" t="inlineStr">
        <is>
          <t>-</t>
        </is>
      </c>
      <c r="M9" s="92">
        <f>F9</f>
        <v/>
      </c>
      <c r="N9" s="93">
        <f>G9</f>
        <v/>
      </c>
      <c r="O9" s="94">
        <f>H9</f>
        <v/>
      </c>
      <c r="P9" s="93">
        <f>I9</f>
        <v/>
      </c>
      <c r="Q9" s="95">
        <f>J9</f>
        <v/>
      </c>
      <c r="R9" s="503" t="inlineStr">
        <is>
          <t>kPa</t>
        </is>
      </c>
      <c r="S9" s="504">
        <f>IF(D9&lt;E9,(E9-D9)*0.002,"x")</f>
        <v/>
      </c>
      <c r="T9" s="503" t="n">
        <v>3379672</v>
      </c>
      <c r="U9" s="42" t="n"/>
    </row>
    <row r="10" ht="15" customFormat="1" customHeight="1" s="2" thickBot="1">
      <c r="A10" s="40" t="n"/>
      <c r="B10" s="505" t="n"/>
      <c r="C10" s="505" t="n"/>
      <c r="D10" s="505" t="n"/>
      <c r="E10" s="506" t="n"/>
      <c r="F10" s="480" t="n">
        <v>-19.56</v>
      </c>
      <c r="G10" s="481" t="n">
        <v>-15.05</v>
      </c>
      <c r="H10" s="481" t="n">
        <v>-10.12</v>
      </c>
      <c r="I10" s="481" t="n">
        <v>-5.1</v>
      </c>
      <c r="J10" s="482" t="n">
        <v>-0.1</v>
      </c>
      <c r="K10" s="505" t="n"/>
      <c r="L10" s="505" t="n"/>
      <c r="M10" s="480" t="n">
        <v>-19.6</v>
      </c>
      <c r="N10" s="481" t="n">
        <v>-15</v>
      </c>
      <c r="O10" s="481" t="n">
        <v>-10</v>
      </c>
      <c r="P10" s="481" t="n">
        <v>-4.99</v>
      </c>
      <c r="Q10" s="482" t="n">
        <v>0</v>
      </c>
      <c r="R10" s="505" t="n"/>
      <c r="S10" s="507" t="n"/>
      <c r="T10" s="505" t="n"/>
      <c r="U10" s="42" t="n"/>
    </row>
    <row r="11" ht="15" customFormat="1" customHeight="1" s="2" thickBot="1">
      <c r="A11" s="40" t="n"/>
      <c r="B11" s="337" t="n">
        <v>42</v>
      </c>
      <c r="C11" s="337" t="inlineStr">
        <is>
          <t>PTX42</t>
        </is>
      </c>
      <c r="D11" s="337" t="n">
        <v>-20</v>
      </c>
      <c r="E11" s="500" t="n">
        <v>0</v>
      </c>
      <c r="F11" s="163">
        <f>IF(AND(D11&lt;0,E11=0)=TRUE,0.98*D11,IF(AND(D11=0,E11&gt;0)=TRUE,0,IF(D11=-E11,0.98*D11,IF(AND(D11=-20,E11=100)=TRUE,0.98*D11,IF(AND(D11=-35,E11=300)=TRUE,0.98*D11,IF(AND(D11=-100,E11=160)=TRUE,80,IF(AND(D11=-100,E11=900)=TRUE,80,"x")))))))</f>
        <v/>
      </c>
      <c r="G11" s="90">
        <f>IF(AND(D11&lt;0,E11=0)=TRUE,0.75*D11,IF(AND(D11=0,E11&gt;0)=TRUE,0.25*E11,IF(D11=-E11,0.5*D11,IF(AND(D11=-20,E11=100)=TRUE,0,IF(AND(D11=-35,E11=300)=TRUE,0,IF(AND(D11=-100,E11=160)=TRUE,0,IF(AND(D11=-100,E11=900)=TRUE,0,"x")))))))</f>
        <v/>
      </c>
      <c r="H11" s="90">
        <f>IF(AND(D11&lt;0,E11=0)=TRUE,0.5*D11,IF(AND(D11=0,E11&gt;0)=TRUE,0.5*E11,IF(D11=-E11,0,IF(AND(D11=-20,E11=100)=TRUE,0.33*E11,IF(AND(D11=-35,E11=300)=TRUE,0.33*E11,IF(AND(D11=-100,E11=160)=TRUE,0.33*E11,IF(AND(D11=-100,E11=900)=TRUE,0.33*E11,"x")))))))</f>
        <v/>
      </c>
      <c r="I11" s="90">
        <f>IF(AND(D11&lt;0,E11=0)=TRUE,0.25*D11,IF(AND(D11=0,E11&gt;0)=TRUE,0.75*E11,IF(D11=-E11,0.5*E11,IF(AND(D11=-20,E11=100)=TRUE,0.66*E11,IF(AND(D11=-35,E11=300)=TRUE,0.66*E11,IF(AND(D11=-100,E11=160)=TRUE,0.66*E11,IF(AND(D11=-100,E11=900)=TRUE,0.66*E11,"x")))))))</f>
        <v/>
      </c>
      <c r="J11" s="91">
        <f>IF(AND(D11&lt;0,E11=0)=TRUE,0*D11,IF(AND(D11=0,E11&gt;0)=TRUE,0.98*E11,IF(D11=-E11,0.98*E11,IF(AND(D11=-20,E11=100)=TRUE,0.98*E11,IF(AND(D11=-35,E11=300)=TRUE,0.98*E11,IF(AND(D11=-100,E11=160)=TRUE,0.98*E11,IF(AND(D11=-100,E11=900)=TRUE,0.98*E11,"x")))))))</f>
        <v/>
      </c>
      <c r="K11" s="501" t="inlineStr">
        <is>
          <t>Pass</t>
        </is>
      </c>
      <c r="L11" s="502" t="inlineStr">
        <is>
          <t>-</t>
        </is>
      </c>
      <c r="M11" s="92">
        <f>F11</f>
        <v/>
      </c>
      <c r="N11" s="93">
        <f>G11</f>
        <v/>
      </c>
      <c r="O11" s="94">
        <f>H11</f>
        <v/>
      </c>
      <c r="P11" s="93">
        <f>I11</f>
        <v/>
      </c>
      <c r="Q11" s="95">
        <f>J11</f>
        <v/>
      </c>
      <c r="R11" s="503" t="inlineStr">
        <is>
          <t>kPa</t>
        </is>
      </c>
      <c r="S11" s="504">
        <f>IF(D11&lt;E11,(E11-D11)*0.002,"x")</f>
        <v/>
      </c>
      <c r="T11" s="503" t="n">
        <v>3369193</v>
      </c>
      <c r="U11" s="42" t="n"/>
    </row>
    <row r="12" ht="15" customFormat="1" customHeight="1" s="2" thickBot="1">
      <c r="A12" s="40" t="n"/>
      <c r="B12" s="505" t="n"/>
      <c r="C12" s="505" t="n"/>
      <c r="D12" s="505" t="n"/>
      <c r="E12" s="506" t="n"/>
      <c r="F12" s="480" t="n">
        <v>-19.57</v>
      </c>
      <c r="G12" s="481" t="n">
        <v>-15.01</v>
      </c>
      <c r="H12" s="481" t="n">
        <v>-10</v>
      </c>
      <c r="I12" s="481" t="n">
        <v>-4.98</v>
      </c>
      <c r="J12" s="482" t="n">
        <v>-0.01</v>
      </c>
      <c r="K12" s="505" t="n"/>
      <c r="L12" s="505" t="n"/>
      <c r="M12" s="480" t="n"/>
      <c r="N12" s="481" t="n"/>
      <c r="O12" s="481" t="n"/>
      <c r="P12" s="481" t="n"/>
      <c r="Q12" s="482" t="n"/>
      <c r="R12" s="505" t="n"/>
      <c r="S12" s="507" t="n"/>
      <c r="T12" s="505" t="n"/>
      <c r="U12" s="42" t="n"/>
    </row>
    <row r="13" ht="15" customFormat="1" customHeight="1" s="2" thickBot="1">
      <c r="A13" s="45" t="n"/>
      <c r="B13" s="337" t="n">
        <v>43</v>
      </c>
      <c r="C13" s="337" t="inlineStr">
        <is>
          <t>PTX43</t>
        </is>
      </c>
      <c r="D13" s="337" t="n">
        <v>-20</v>
      </c>
      <c r="E13" s="500" t="n">
        <v>0</v>
      </c>
      <c r="F13" s="163">
        <f>IF(AND(D13&lt;0,E13=0)=TRUE,0.98*D13,IF(AND(D13=0,E13&gt;0)=TRUE,0,IF(D13=-E13,0.98*D13,IF(AND(D13=-20,E13=100)=TRUE,0.98*D13,IF(AND(D13=-35,E13=300)=TRUE,0.98*D13,IF(AND(D13=-100,E13=160)=TRUE,80,IF(AND(D13=-100,E13=900)=TRUE,80,"x")))))))</f>
        <v/>
      </c>
      <c r="G13" s="90">
        <f>IF(AND(D13&lt;0,E13=0)=TRUE,0.75*D13,IF(AND(D13=0,E13&gt;0)=TRUE,0.25*E13,IF(D13=-E13,0.5*D13,IF(AND(D13=-20,E13=100)=TRUE,0,IF(AND(D13=-35,E13=300)=TRUE,0,IF(AND(D13=-100,E13=160)=TRUE,0,IF(AND(D13=-100,E13=900)=TRUE,0,"x")))))))</f>
        <v/>
      </c>
      <c r="H13" s="90">
        <f>IF(AND(D13&lt;0,E13=0)=TRUE,0.5*D13,IF(AND(D13=0,E13&gt;0)=TRUE,0.5*E13,IF(D13=-E13,0,IF(AND(D13=-20,E13=100)=TRUE,0.33*E13,IF(AND(D13=-35,E13=300)=TRUE,0.33*E13,IF(AND(D13=-100,E13=160)=TRUE,0.33*E13,IF(AND(D13=-100,E13=900)=TRUE,0.33*E13,"x")))))))</f>
        <v/>
      </c>
      <c r="I13" s="90">
        <f>IF(AND(D13&lt;0,E13=0)=TRUE,0.25*D13,IF(AND(D13=0,E13&gt;0)=TRUE,0.75*E13,IF(D13=-E13,0.5*E13,IF(AND(D13=-20,E13=100)=TRUE,0.66*E13,IF(AND(D13=-35,E13=300)=TRUE,0.66*E13,IF(AND(D13=-100,E13=160)=TRUE,0.66*E13,IF(AND(D13=-100,E13=900)=TRUE,0.66*E13,"x")))))))</f>
        <v/>
      </c>
      <c r="J13" s="91">
        <f>IF(AND(D13&lt;0,E13=0)=TRUE,0*D13,IF(AND(D13=0,E13&gt;0)=TRUE,0.98*E13,IF(D13=-E13,0.98*E13,IF(AND(D13=-20,E13=100)=TRUE,0.98*E13,IF(AND(D13=-35,E13=300)=TRUE,0.98*E13,IF(AND(D13=-100,E13=160)=TRUE,0.98*E13,IF(AND(D13=-100,E13=900)=TRUE,0.98*E13,"x")))))))</f>
        <v/>
      </c>
      <c r="K13" s="501" t="inlineStr">
        <is>
          <t>Fail</t>
        </is>
      </c>
      <c r="L13" s="502" t="inlineStr">
        <is>
          <t>-</t>
        </is>
      </c>
      <c r="M13" s="92">
        <f>F13</f>
        <v/>
      </c>
      <c r="N13" s="93">
        <f>G13</f>
        <v/>
      </c>
      <c r="O13" s="94">
        <f>H13</f>
        <v/>
      </c>
      <c r="P13" s="93">
        <f>I13</f>
        <v/>
      </c>
      <c r="Q13" s="95">
        <f>J13</f>
        <v/>
      </c>
      <c r="R13" s="503" t="inlineStr">
        <is>
          <t>kPa</t>
        </is>
      </c>
      <c r="S13" s="504">
        <f>IF(D13&lt;E13,(E13-D13)*0.002,"x")</f>
        <v/>
      </c>
      <c r="T13" s="503" t="n">
        <v>3381459</v>
      </c>
      <c r="U13" s="42" t="n"/>
    </row>
    <row r="14" ht="15" customFormat="1" customHeight="1" s="2" thickBot="1">
      <c r="A14" s="45" t="n"/>
      <c r="B14" s="505" t="n"/>
      <c r="C14" s="505" t="n"/>
      <c r="D14" s="505" t="n"/>
      <c r="E14" s="506" t="n"/>
      <c r="F14" s="480" t="n">
        <v>-19.67</v>
      </c>
      <c r="G14" s="481" t="n">
        <v>-15.04</v>
      </c>
      <c r="H14" s="481" t="n">
        <v>-10</v>
      </c>
      <c r="I14" s="481" t="n">
        <v>-5</v>
      </c>
      <c r="J14" s="482" t="n">
        <v>-0.01</v>
      </c>
      <c r="K14" s="505" t="n"/>
      <c r="L14" s="505" t="n"/>
      <c r="M14" s="480" t="n">
        <v>-19.6</v>
      </c>
      <c r="N14" s="481" t="n">
        <v>-14.99</v>
      </c>
      <c r="O14" s="481" t="n">
        <v>-10</v>
      </c>
      <c r="P14" s="481" t="n">
        <v>-5.01</v>
      </c>
      <c r="Q14" s="482" t="n">
        <v>-0.005</v>
      </c>
      <c r="R14" s="505" t="n"/>
      <c r="S14" s="507" t="n"/>
      <c r="T14" s="505" t="n"/>
      <c r="U14" s="42" t="n"/>
    </row>
    <row r="15" ht="15" customFormat="1" customHeight="1" s="2" thickBot="1">
      <c r="A15" s="45" t="n"/>
      <c r="B15" s="337" t="n">
        <v>44</v>
      </c>
      <c r="C15" s="337" t="inlineStr">
        <is>
          <t>PTX44</t>
        </is>
      </c>
      <c r="D15" s="337" t="n">
        <v>-20</v>
      </c>
      <c r="E15" s="500" t="n">
        <v>0</v>
      </c>
      <c r="F15" s="163">
        <f>IF(AND(D15&lt;0,E15=0)=TRUE,0.98*D15,IF(AND(D15=0,E15&gt;0)=TRUE,0,IF(D15=-E15,0.98*D15,IF(AND(D15=-20,E15=100)=TRUE,0.98*D15,IF(AND(D15=-35,E15=300)=TRUE,0.98*D15,IF(AND(D15=-100,E15=160)=TRUE,80,IF(AND(D15=-100,E15=900)=TRUE,80,"x")))))))</f>
        <v/>
      </c>
      <c r="G15" s="90">
        <f>IF(AND(D15&lt;0,E15=0)=TRUE,0.75*D15,IF(AND(D15=0,E15&gt;0)=TRUE,0.25*E15,IF(D15=-E15,0.5*D15,IF(AND(D15=-20,E15=100)=TRUE,0,IF(AND(D15=-35,E15=300)=TRUE,0,IF(AND(D15=-100,E15=160)=TRUE,0,IF(AND(D15=-100,E15=900)=TRUE,0,"x")))))))</f>
        <v/>
      </c>
      <c r="H15" s="90">
        <f>IF(AND(D15&lt;0,E15=0)=TRUE,0.5*D15,IF(AND(D15=0,E15&gt;0)=TRUE,0.5*E15,IF(D15=-E15,0,IF(AND(D15=-20,E15=100)=TRUE,0.33*E15,IF(AND(D15=-35,E15=300)=TRUE,0.33*E15,IF(AND(D15=-100,E15=160)=TRUE,0.33*E15,IF(AND(D15=-100,E15=900)=TRUE,0.33*E15,"x")))))))</f>
        <v/>
      </c>
      <c r="I15" s="90">
        <f>IF(AND(D15&lt;0,E15=0)=TRUE,0.25*D15,IF(AND(D15=0,E15&gt;0)=TRUE,0.75*E15,IF(D15=-E15,0.5*E15,IF(AND(D15=-20,E15=100)=TRUE,0.66*E15,IF(AND(D15=-35,E15=300)=TRUE,0.66*E15,IF(AND(D15=-100,E15=160)=TRUE,0.66*E15,IF(AND(D15=-100,E15=900)=TRUE,0.66*E15,"x")))))))</f>
        <v/>
      </c>
      <c r="J15" s="91">
        <f>IF(AND(D15&lt;0,E15=0)=TRUE,0*D15,IF(AND(D15=0,E15&gt;0)=TRUE,0.98*E15,IF(D15=-E15,0.98*E15,IF(AND(D15=-20,E15=100)=TRUE,0.98*E15,IF(AND(D15=-35,E15=300)=TRUE,0.98*E15,IF(AND(D15=-100,E15=160)=TRUE,0.98*E15,IF(AND(D15=-100,E15=900)=TRUE,0.98*E15,"x")))))))</f>
        <v/>
      </c>
      <c r="K15" s="501" t="inlineStr">
        <is>
          <t>Fail</t>
        </is>
      </c>
      <c r="L15" s="502" t="inlineStr">
        <is>
          <t>-</t>
        </is>
      </c>
      <c r="M15" s="92">
        <f>F15</f>
        <v/>
      </c>
      <c r="N15" s="93">
        <f>G15</f>
        <v/>
      </c>
      <c r="O15" s="94">
        <f>H15</f>
        <v/>
      </c>
      <c r="P15" s="93">
        <f>I15</f>
        <v/>
      </c>
      <c r="Q15" s="95">
        <f>J15</f>
        <v/>
      </c>
      <c r="R15" s="503" t="inlineStr">
        <is>
          <t>kPa</t>
        </is>
      </c>
      <c r="S15" s="504">
        <f>IF(D15&lt;E15,(E15-D15)*0.002,"x")</f>
        <v/>
      </c>
      <c r="T15" s="503" t="n">
        <v>3368927</v>
      </c>
      <c r="U15" s="42" t="n"/>
    </row>
    <row r="16" ht="15" customFormat="1" customHeight="1" s="2" thickBot="1">
      <c r="A16" s="45" t="n"/>
      <c r="B16" s="505" t="n"/>
      <c r="C16" s="505" t="n"/>
      <c r="D16" s="505" t="n"/>
      <c r="E16" s="506" t="n"/>
      <c r="F16" s="480" t="n">
        <v>-19.55</v>
      </c>
      <c r="G16" s="481" t="n">
        <v>-14.93</v>
      </c>
      <c r="H16" s="481" t="n">
        <v>-9.93</v>
      </c>
      <c r="I16" s="481" t="n">
        <v>-4.97</v>
      </c>
      <c r="J16" s="482" t="n">
        <v>0.07000000000000001</v>
      </c>
      <c r="K16" s="505" t="n"/>
      <c r="L16" s="505" t="n"/>
      <c r="M16" s="480" t="n">
        <v>-19.6</v>
      </c>
      <c r="N16" s="481" t="n">
        <v>-15</v>
      </c>
      <c r="O16" s="481" t="n">
        <v>-9.99</v>
      </c>
      <c r="P16" s="481" t="n">
        <v>-5</v>
      </c>
      <c r="Q16" s="482" t="n">
        <v>0</v>
      </c>
      <c r="R16" s="505" t="n"/>
      <c r="S16" s="507" t="n"/>
      <c r="T16" s="505" t="n"/>
      <c r="U16" s="42" t="n"/>
    </row>
    <row r="17" ht="15" customFormat="1" customHeight="1" s="2" thickBot="1">
      <c r="A17" s="45" t="n"/>
      <c r="B17" s="337" t="n">
        <v>45</v>
      </c>
      <c r="C17" s="337" t="inlineStr">
        <is>
          <t>PTX45</t>
        </is>
      </c>
      <c r="D17" s="337" t="n">
        <v>0</v>
      </c>
      <c r="E17" s="500" t="n">
        <v>600</v>
      </c>
      <c r="F17" s="163">
        <f>IF(AND(D17&lt;0,E17=0)=TRUE,0.98*D17,IF(AND(D17=0,E17&gt;0)=TRUE,0,IF(D17=-E17,0.98*D17,IF(AND(D17=-20,E17=100)=TRUE,0.98*D17,IF(AND(D17=-35,E17=300)=TRUE,0.98*D17,IF(AND(D17=-100,E17=160)=TRUE,80,IF(AND(D17=-100,E17=900)=TRUE,80,"x")))))))</f>
        <v/>
      </c>
      <c r="G17" s="90">
        <f>IF(AND(D17&lt;0,E17=0)=TRUE,0.75*D17,IF(AND(D17=0,E17&gt;0)=TRUE,0.25*E17,IF(D17=-E17,0.5*D17,IF(AND(D17=-20,E17=100)=TRUE,0,IF(AND(D17=-35,E17=300)=TRUE,0,IF(AND(D17=-100,E17=160)=TRUE,0,IF(AND(D17=-100,E17=900)=TRUE,0,"x")))))))</f>
        <v/>
      </c>
      <c r="H17" s="90">
        <f>IF(AND(D17&lt;0,E17=0)=TRUE,0.5*D17,IF(AND(D17=0,E17&gt;0)=TRUE,0.5*E17,IF(D17=-E17,0,IF(AND(D17=-20,E17=100)=TRUE,0.33*E17,IF(AND(D17=-35,E17=300)=TRUE,0.33*E17,IF(AND(D17=-100,E17=160)=TRUE,0.33*E17,IF(AND(D17=-100,E17=900)=TRUE,0.33*E17,"x")))))))</f>
        <v/>
      </c>
      <c r="I17" s="90">
        <f>IF(AND(D17&lt;0,E17=0)=TRUE,0.25*D17,IF(AND(D17=0,E17&gt;0)=TRUE,0.75*E17,IF(D17=-E17,0.5*E17,IF(AND(D17=-20,E17=100)=TRUE,0.66*E17,IF(AND(D17=-35,E17=300)=TRUE,0.66*E17,IF(AND(D17=-100,E17=160)=TRUE,0.66*E17,IF(AND(D17=-100,E17=900)=TRUE,0.66*E17,"x")))))))</f>
        <v/>
      </c>
      <c r="J17" s="91">
        <f>IF(AND(D17&lt;0,E17=0)=TRUE,0*D17,IF(AND(D17=0,E17&gt;0)=TRUE,0.98*E17,IF(D17=-E17,0.98*E17,IF(AND(D17=-20,E17=100)=TRUE,0.98*E17,IF(AND(D17=-35,E17=300)=TRUE,0.98*E17,IF(AND(D17=-100,E17=160)=TRUE,0.98*E17,IF(AND(D17=-100,E17=900)=TRUE,0.98*E17,"x")))))))</f>
        <v/>
      </c>
      <c r="K17" s="501" t="inlineStr">
        <is>
          <t>Pass</t>
        </is>
      </c>
      <c r="L17" s="502" t="inlineStr">
        <is>
          <t>-</t>
        </is>
      </c>
      <c r="M17" s="92">
        <f>F17</f>
        <v/>
      </c>
      <c r="N17" s="93">
        <f>G17</f>
        <v/>
      </c>
      <c r="O17" s="94">
        <f>H17</f>
        <v/>
      </c>
      <c r="P17" s="93">
        <f>I17</f>
        <v/>
      </c>
      <c r="Q17" s="95">
        <f>J17</f>
        <v/>
      </c>
      <c r="R17" s="503" t="inlineStr">
        <is>
          <t>kPa</t>
        </is>
      </c>
      <c r="S17" s="504">
        <f>IF(D17&lt;E17,(E17-D17)*0.002,"x")</f>
        <v/>
      </c>
      <c r="T17" s="503" t="n">
        <v>3351127</v>
      </c>
      <c r="U17" s="42" t="n"/>
    </row>
    <row r="18" ht="15" customFormat="1" customHeight="1" s="2" thickBot="1">
      <c r="A18" s="45" t="n"/>
      <c r="B18" s="505" t="n"/>
      <c r="C18" s="505" t="n"/>
      <c r="D18" s="505" t="n"/>
      <c r="E18" s="506" t="n"/>
      <c r="F18" s="480" t="n">
        <v>0.03</v>
      </c>
      <c r="G18" s="481" t="n">
        <v>150.03</v>
      </c>
      <c r="H18" s="481" t="n">
        <v>299.77</v>
      </c>
      <c r="I18" s="481" t="n">
        <v>449.96</v>
      </c>
      <c r="J18" s="482" t="n">
        <v>587.8099999999999</v>
      </c>
      <c r="K18" s="505" t="n"/>
      <c r="L18" s="505" t="n"/>
      <c r="M18" s="480" t="n"/>
      <c r="N18" s="481" t="n"/>
      <c r="O18" s="481" t="n"/>
      <c r="P18" s="481" t="n"/>
      <c r="Q18" s="482" t="n"/>
      <c r="R18" s="505" t="n"/>
      <c r="S18" s="507" t="n"/>
      <c r="T18" s="505" t="n"/>
      <c r="U18" s="42" t="n"/>
    </row>
    <row r="19" ht="15" customFormat="1" customHeight="1" s="2" thickBot="1">
      <c r="A19" s="45" t="n"/>
      <c r="B19" s="337" t="n">
        <v>46</v>
      </c>
      <c r="C19" s="337" t="inlineStr">
        <is>
          <t>PTX46</t>
        </is>
      </c>
      <c r="D19" s="337" t="n">
        <v>0</v>
      </c>
      <c r="E19" s="500" t="n">
        <v>600</v>
      </c>
      <c r="F19" s="163">
        <f>IF(AND(D19&lt;0,E19=0)=TRUE,0.98*D19,IF(AND(D19=0,E19&gt;0)=TRUE,0,IF(D19=-E19,0.98*D19,IF(AND(D19=-20,E19=100)=TRUE,0.98*D19,IF(AND(D19=-35,E19=300)=TRUE,0.98*D19,IF(AND(D19=-100,E19=160)=TRUE,80,IF(AND(D19=-100,E19=900)=TRUE,80,"x")))))))</f>
        <v/>
      </c>
      <c r="G19" s="90">
        <f>IF(AND(D19&lt;0,E19=0)=TRUE,0.75*D19,IF(AND(D19=0,E19&gt;0)=TRUE,0.25*E19,IF(D19=-E19,0.5*D19,IF(AND(D19=-20,E19=100)=TRUE,0,IF(AND(D19=-35,E19=300)=TRUE,0,IF(AND(D19=-100,E19=160)=TRUE,0,IF(AND(D19=-100,E19=900)=TRUE,0,"x")))))))</f>
        <v/>
      </c>
      <c r="H19" s="90">
        <f>IF(AND(D19&lt;0,E19=0)=TRUE,0.5*D19,IF(AND(D19=0,E19&gt;0)=TRUE,0.5*E19,IF(D19=-E19,0,IF(AND(D19=-20,E19=100)=TRUE,0.33*E19,IF(AND(D19=-35,E19=300)=TRUE,0.33*E19,IF(AND(D19=-100,E19=160)=TRUE,0.33*E19,IF(AND(D19=-100,E19=900)=TRUE,0.33*E19,"x")))))))</f>
        <v/>
      </c>
      <c r="I19" s="90">
        <f>IF(AND(D19&lt;0,E19=0)=TRUE,0.25*D19,IF(AND(D19=0,E19&gt;0)=TRUE,0.75*E19,IF(D19=-E19,0.5*E19,IF(AND(D19=-20,E19=100)=TRUE,0.66*E19,IF(AND(D19=-35,E19=300)=TRUE,0.66*E19,IF(AND(D19=-100,E19=160)=TRUE,0.66*E19,IF(AND(D19=-100,E19=900)=TRUE,0.66*E19,"x")))))))</f>
        <v/>
      </c>
      <c r="J19" s="91">
        <f>IF(AND(D19&lt;0,E19=0)=TRUE,0*D19,IF(AND(D19=0,E19&gt;0)=TRUE,0.98*E19,IF(D19=-E19,0.98*E19,IF(AND(D19=-20,E19=100)=TRUE,0.98*E19,IF(AND(D19=-35,E19=300)=TRUE,0.98*E19,IF(AND(D19=-100,E19=160)=TRUE,0.98*E19,IF(AND(D19=-100,E19=900)=TRUE,0.98*E19,"x")))))))</f>
        <v/>
      </c>
      <c r="K19" s="501" t="inlineStr">
        <is>
          <t>Pass</t>
        </is>
      </c>
      <c r="L19" s="502" t="inlineStr">
        <is>
          <t>-</t>
        </is>
      </c>
      <c r="M19" s="92">
        <f>F19</f>
        <v/>
      </c>
      <c r="N19" s="93">
        <f>G19</f>
        <v/>
      </c>
      <c r="O19" s="94">
        <f>H19</f>
        <v/>
      </c>
      <c r="P19" s="93">
        <f>I19</f>
        <v/>
      </c>
      <c r="Q19" s="95">
        <f>J19</f>
        <v/>
      </c>
      <c r="R19" s="503" t="inlineStr">
        <is>
          <t>kPa</t>
        </is>
      </c>
      <c r="S19" s="504">
        <f>IF(D19&lt;E19,(E19-D19)*0.002,"x")</f>
        <v/>
      </c>
      <c r="T19" s="503" t="n">
        <v>3330390</v>
      </c>
      <c r="U19" s="42" t="n"/>
    </row>
    <row r="20" ht="15" customFormat="1" customHeight="1" s="2" thickBot="1">
      <c r="A20" s="45" t="n"/>
      <c r="B20" s="505" t="n"/>
      <c r="C20" s="505" t="n"/>
      <c r="D20" s="505" t="n"/>
      <c r="E20" s="506" t="n"/>
      <c r="F20" s="480" t="n">
        <v>0</v>
      </c>
      <c r="G20" s="481" t="n">
        <v>149.95</v>
      </c>
      <c r="H20" s="481" t="n">
        <v>299.88</v>
      </c>
      <c r="I20" s="481" t="n">
        <v>449.96</v>
      </c>
      <c r="J20" s="482" t="n">
        <v>588</v>
      </c>
      <c r="K20" s="505" t="n"/>
      <c r="L20" s="505" t="n"/>
      <c r="M20" s="480" t="n"/>
      <c r="N20" s="481" t="n"/>
      <c r="O20" s="481" t="n"/>
      <c r="P20" s="481" t="n"/>
      <c r="Q20" s="482" t="n"/>
      <c r="R20" s="505" t="n"/>
      <c r="S20" s="507" t="n"/>
      <c r="T20" s="505" t="n"/>
      <c r="U20" s="42" t="n"/>
    </row>
    <row r="21" ht="15" customFormat="1" customHeight="1" s="2" thickBot="1">
      <c r="A21" s="45" t="n"/>
      <c r="B21" s="337" t="n">
        <v>47</v>
      </c>
      <c r="C21" s="337" t="inlineStr">
        <is>
          <t>PTX47</t>
        </is>
      </c>
      <c r="D21" s="337" t="n">
        <v>0</v>
      </c>
      <c r="E21" s="500" t="n">
        <v>600</v>
      </c>
      <c r="F21" s="163">
        <f>IF(AND(D21&lt;0,E21=0)=TRUE,0.98*D21,IF(AND(D21=0,E21&gt;0)=TRUE,0,IF(D21=-E21,0.98*D21,IF(AND(D21=-20,E21=100)=TRUE,0.98*D21,IF(AND(D21=-35,E21=300)=TRUE,0.98*D21,IF(AND(D21=-100,E21=160)=TRUE,80,IF(AND(D21=-100,E21=900)=TRUE,80,"x")))))))</f>
        <v/>
      </c>
      <c r="G21" s="90">
        <f>IF(AND(D21&lt;0,E21=0)=TRUE,0.75*D21,IF(AND(D21=0,E21&gt;0)=TRUE,0.25*E21,IF(D21=-E21,0.5*D21,IF(AND(D21=-20,E21=100)=TRUE,0,IF(AND(D21=-35,E21=300)=TRUE,0,IF(AND(D21=-100,E21=160)=TRUE,0,IF(AND(D21=-100,E21=900)=TRUE,0,"x")))))))</f>
        <v/>
      </c>
      <c r="H21" s="90">
        <f>IF(AND(D21&lt;0,E21=0)=TRUE,0.5*D21,IF(AND(D21=0,E21&gt;0)=TRUE,0.5*E21,IF(D21=-E21,0,IF(AND(D21=-20,E21=100)=TRUE,0.33*E21,IF(AND(D21=-35,E21=300)=TRUE,0.33*E21,IF(AND(D21=-100,E21=160)=TRUE,0.33*E21,IF(AND(D21=-100,E21=900)=TRUE,0.33*E21,"x")))))))</f>
        <v/>
      </c>
      <c r="I21" s="90">
        <f>IF(AND(D21&lt;0,E21=0)=TRUE,0.25*D21,IF(AND(D21=0,E21&gt;0)=TRUE,0.75*E21,IF(D21=-E21,0.5*E21,IF(AND(D21=-20,E21=100)=TRUE,0.66*E21,IF(AND(D21=-35,E21=300)=TRUE,0.66*E21,IF(AND(D21=-100,E21=160)=TRUE,0.66*E21,IF(AND(D21=-100,E21=900)=TRUE,0.66*E21,"x")))))))</f>
        <v/>
      </c>
      <c r="J21" s="91">
        <f>IF(AND(D21&lt;0,E21=0)=TRUE,0*D21,IF(AND(D21=0,E21&gt;0)=TRUE,0.98*E21,IF(D21=-E21,0.98*E21,IF(AND(D21=-20,E21=100)=TRUE,0.98*E21,IF(AND(D21=-35,E21=300)=TRUE,0.98*E21,IF(AND(D21=-100,E21=160)=TRUE,0.98*E21,IF(AND(D21=-100,E21=900)=TRUE,0.98*E21,"x")))))))</f>
        <v/>
      </c>
      <c r="K21" s="501" t="inlineStr">
        <is>
          <t>Pass</t>
        </is>
      </c>
      <c r="L21" s="502" t="inlineStr">
        <is>
          <t>-</t>
        </is>
      </c>
      <c r="M21" s="92">
        <f>F21</f>
        <v/>
      </c>
      <c r="N21" s="93">
        <f>G21</f>
        <v/>
      </c>
      <c r="O21" s="94">
        <f>H21</f>
        <v/>
      </c>
      <c r="P21" s="93">
        <f>I21</f>
        <v/>
      </c>
      <c r="Q21" s="95">
        <f>J21</f>
        <v/>
      </c>
      <c r="R21" s="503" t="inlineStr">
        <is>
          <t>kPa</t>
        </is>
      </c>
      <c r="S21" s="504">
        <f>IF(D21&lt;E21,(E21-D21)*0.002,"x")</f>
        <v/>
      </c>
      <c r="T21" s="503" t="n">
        <v>3351118</v>
      </c>
      <c r="U21" s="42" t="n"/>
    </row>
    <row r="22" ht="15" customFormat="1" customHeight="1" s="2" thickBot="1">
      <c r="A22" s="45" t="n"/>
      <c r="B22" s="505" t="n"/>
      <c r="C22" s="505" t="n"/>
      <c r="D22" s="505" t="n"/>
      <c r="E22" s="506" t="n"/>
      <c r="F22" s="480" t="n">
        <v>-0.03</v>
      </c>
      <c r="G22" s="481" t="n">
        <v>150.01</v>
      </c>
      <c r="H22" s="481" t="n">
        <v>299.94</v>
      </c>
      <c r="I22" s="481" t="n">
        <v>449.94</v>
      </c>
      <c r="J22" s="482" t="n">
        <v>587.86</v>
      </c>
      <c r="K22" s="505" t="n"/>
      <c r="L22" s="505" t="n"/>
      <c r="M22" s="480" t="n"/>
      <c r="N22" s="481" t="n"/>
      <c r="O22" s="481" t="n"/>
      <c r="P22" s="481" t="n"/>
      <c r="Q22" s="482" t="n"/>
      <c r="R22" s="505" t="n"/>
      <c r="S22" s="507" t="n"/>
      <c r="T22" s="505" t="n"/>
      <c r="U22" s="42" t="n"/>
    </row>
    <row r="23" ht="15" customFormat="1" customHeight="1" s="2" thickBot="1">
      <c r="A23" s="45" t="n"/>
      <c r="B23" s="337" t="n">
        <v>48</v>
      </c>
      <c r="C23" s="337" t="inlineStr">
        <is>
          <t>PTX48</t>
        </is>
      </c>
      <c r="D23" s="337" t="n">
        <v>-100</v>
      </c>
      <c r="E23" s="500" t="n">
        <v>900</v>
      </c>
      <c r="F23" s="163" t="n">
        <v>-80</v>
      </c>
      <c r="G23" s="90">
        <f>IF(AND(D23&lt;0,E23=0)=TRUE,0.75*D23,IF(AND(D23=0,E23&gt;0)=TRUE,0.25*E23,IF(D23=-E23,0.5*D23,IF(AND(D23=-20,E23=100)=TRUE,0,IF(AND(D23=-35,E23=300)=TRUE,0,IF(AND(D23=-100,E23=160)=TRUE,0,IF(AND(D23=-100,E23=900)=TRUE,0,"x")))))))</f>
        <v/>
      </c>
      <c r="H23" s="90">
        <f>IF(AND(D23&lt;0,E23=0)=TRUE,0.5*D23,IF(AND(D23=0,E23&gt;0)=TRUE,0.5*E23,IF(D23=-E23,0,IF(AND(D23=-20,E23=100)=TRUE,0.33*E23,IF(AND(D23=-35,E23=300)=TRUE,0.33*E23,IF(AND(D23=-100,E23=160)=TRUE,0.33*E23,IF(AND(D23=-100,E23=900)=TRUE,0.33*E23,"x")))))))</f>
        <v/>
      </c>
      <c r="I23" s="90">
        <f>IF(AND(D23&lt;0,E23=0)=TRUE,0.25*D23,IF(AND(D23=0,E23&gt;0)=TRUE,0.75*E23,IF(D23=-E23,0.5*E23,IF(AND(D23=-20,E23=100)=TRUE,0.66*E23,IF(AND(D23=-35,E23=300)=TRUE,0.66*E23,IF(AND(D23=-100,E23=160)=TRUE,0.66*E23,IF(AND(D23=-100,E23=900)=TRUE,0.66*E23,"x")))))))</f>
        <v/>
      </c>
      <c r="J23" s="91">
        <f>IF(AND(D23&lt;0,E23=0)=TRUE,0*D23,IF(AND(D23=0,E23&gt;0)=TRUE,0.98*E23,IF(D23=-E23,0.98*E23,IF(AND(D23=-20,E23=100)=TRUE,0.98*E23,IF(AND(D23=-35,E23=300)=TRUE,0.98*E23,IF(AND(D23=-100,E23=160)=TRUE,0.98*E23,IF(AND(D23=-100,E23=900)=TRUE,0.98*E23,"x")))))))</f>
        <v/>
      </c>
      <c r="K23" s="501" t="inlineStr">
        <is>
          <t>Fail</t>
        </is>
      </c>
      <c r="L23" s="502" t="inlineStr">
        <is>
          <t>-</t>
        </is>
      </c>
      <c r="M23" s="92">
        <f>F23</f>
        <v/>
      </c>
      <c r="N23" s="93">
        <f>G23</f>
        <v/>
      </c>
      <c r="O23" s="94">
        <f>H23</f>
        <v/>
      </c>
      <c r="P23" s="93">
        <f>I23</f>
        <v/>
      </c>
      <c r="Q23" s="95">
        <f>J23</f>
        <v/>
      </c>
      <c r="R23" s="503" t="inlineStr">
        <is>
          <t>kPa</t>
        </is>
      </c>
      <c r="S23" s="504">
        <f>IF(D23&lt;E23,(E23-D23)*0.002,"x")</f>
        <v/>
      </c>
      <c r="T23" s="503" t="n">
        <v>10258086</v>
      </c>
      <c r="U23" s="42" t="n"/>
    </row>
    <row r="24" ht="15" customFormat="1" customHeight="1" s="2" thickBot="1">
      <c r="A24" s="45" t="n"/>
      <c r="B24" s="505" t="n"/>
      <c r="C24" s="505" t="n"/>
      <c r="D24" s="505" t="n"/>
      <c r="E24" s="506" t="n"/>
      <c r="F24" s="480" t="n">
        <v>-81.81999999999999</v>
      </c>
      <c r="G24" s="481" t="n">
        <v>-0.82</v>
      </c>
      <c r="H24" s="481" t="n">
        <v>296.72</v>
      </c>
      <c r="I24" s="481" t="n">
        <v>593.42</v>
      </c>
      <c r="J24" s="482" t="n">
        <v>881.8</v>
      </c>
      <c r="K24" s="505" t="n"/>
      <c r="L24" s="505" t="n"/>
      <c r="M24" s="480" t="n">
        <v>-80.06</v>
      </c>
      <c r="N24" s="480" t="n">
        <v>0.25</v>
      </c>
      <c r="O24" s="480" t="n">
        <v>297.37</v>
      </c>
      <c r="P24" s="480" t="n">
        <v>594</v>
      </c>
      <c r="Q24" s="480" t="n">
        <v>881.87</v>
      </c>
      <c r="R24" s="505" t="n"/>
      <c r="S24" s="507" t="n"/>
      <c r="T24" s="505" t="n"/>
      <c r="U24" s="42" t="n"/>
    </row>
    <row r="25" ht="15" customFormat="1" customHeight="1" s="2" thickBot="1">
      <c r="A25" s="45" t="n"/>
      <c r="B25" s="337" t="n">
        <v>49</v>
      </c>
      <c r="C25" s="337" t="inlineStr">
        <is>
          <t>PTX49</t>
        </is>
      </c>
      <c r="D25" s="337" t="n">
        <v>0</v>
      </c>
      <c r="E25" s="500" t="n">
        <v>600</v>
      </c>
      <c r="F25" s="163">
        <f>IF(AND(D25&lt;0,E25=0)=TRUE,0.98*D25,IF(AND(D25=0,E25&gt;0)=TRUE,0,IF(D25=-E25,0.98*D25,IF(AND(D25=-20,E25=100)=TRUE,0.98*D25,IF(AND(D25=-35,E25=300)=TRUE,0.98*D25,IF(AND(D25=-100,E25=160)=TRUE,80,IF(AND(D25=-100,E25=900)=TRUE,80,"x")))))))</f>
        <v/>
      </c>
      <c r="G25" s="90">
        <f>IF(AND(D25&lt;0,E25=0)=TRUE,0.75*D25,IF(AND(D25=0,E25&gt;0)=TRUE,0.25*E25,IF(D25=-E25,0.5*D25,IF(AND(D25=-20,E25=100)=TRUE,0,IF(AND(D25=-35,E25=300)=TRUE,0,IF(AND(D25=-100,E25=160)=TRUE,0,IF(AND(D25=-100,E25=900)=TRUE,0,"x")))))))</f>
        <v/>
      </c>
      <c r="H25" s="90">
        <f>IF(AND(D25&lt;0,E25=0)=TRUE,0.5*D25,IF(AND(D25=0,E25&gt;0)=TRUE,0.5*E25,IF(D25=-E25,0,IF(AND(D25=-20,E25=100)=TRUE,0.33*E25,IF(AND(D25=-35,E25=300)=TRUE,0.33*E25,IF(AND(D25=-100,E25=160)=TRUE,0.33*E25,IF(AND(D25=-100,E25=900)=TRUE,0.33*E25,"x")))))))</f>
        <v/>
      </c>
      <c r="I25" s="90">
        <f>IF(AND(D25&lt;0,E25=0)=TRUE,0.25*D25,IF(AND(D25=0,E25&gt;0)=TRUE,0.75*E25,IF(D25=-E25,0.5*E25,IF(AND(D25=-20,E25=100)=TRUE,0.66*E25,IF(AND(D25=-35,E25=300)=TRUE,0.66*E25,IF(AND(D25=-100,E25=160)=TRUE,0.66*E25,IF(AND(D25=-100,E25=900)=TRUE,0.66*E25,"x")))))))</f>
        <v/>
      </c>
      <c r="J25" s="91">
        <f>IF(AND(D25&lt;0,E25=0)=TRUE,0*D25,IF(AND(D25=0,E25&gt;0)=TRUE,0.98*E25,IF(D25=-E25,0.98*E25,IF(AND(D25=-20,E25=100)=TRUE,0.98*E25,IF(AND(D25=-35,E25=300)=TRUE,0.98*E25,IF(AND(D25=-100,E25=160)=TRUE,0.98*E25,IF(AND(D25=-100,E25=900)=TRUE,0.98*E25,"x")))))))</f>
        <v/>
      </c>
      <c r="K25" s="501" t="inlineStr">
        <is>
          <t>Fail</t>
        </is>
      </c>
      <c r="L25" s="502" t="inlineStr">
        <is>
          <t>-</t>
        </is>
      </c>
      <c r="M25" s="92">
        <f>F25</f>
        <v/>
      </c>
      <c r="N25" s="93">
        <f>G25</f>
        <v/>
      </c>
      <c r="O25" s="94">
        <f>H25</f>
        <v/>
      </c>
      <c r="P25" s="93">
        <f>I25</f>
        <v/>
      </c>
      <c r="Q25" s="95">
        <f>J25</f>
        <v/>
      </c>
      <c r="R25" s="503" t="inlineStr">
        <is>
          <t>kPa</t>
        </is>
      </c>
      <c r="S25" s="504">
        <f>IF(D25&lt;E25,(E25-D25)*0.002,"x")</f>
        <v/>
      </c>
      <c r="T25" s="503" t="n">
        <v>3354308</v>
      </c>
      <c r="U25" s="42" t="n"/>
    </row>
    <row r="26" ht="15" customFormat="1" customHeight="1" s="2" thickBot="1">
      <c r="A26" s="45" t="n"/>
      <c r="B26" s="505" t="n"/>
      <c r="C26" s="505" t="n"/>
      <c r="D26" s="505" t="n"/>
      <c r="E26" s="506" t="n"/>
      <c r="F26" s="480" t="n">
        <v>-1.73</v>
      </c>
      <c r="G26" s="481" t="n">
        <v>147.45</v>
      </c>
      <c r="H26" s="481" t="n">
        <v>297.4</v>
      </c>
      <c r="I26" s="481" t="n">
        <v>447.33</v>
      </c>
      <c r="J26" s="482" t="n">
        <v>585.55</v>
      </c>
      <c r="K26" s="505" t="n"/>
      <c r="L26" s="505" t="n"/>
      <c r="M26" s="480" t="n">
        <v>0</v>
      </c>
      <c r="N26" s="481" t="n">
        <v>149.96</v>
      </c>
      <c r="O26" s="481" t="n">
        <v>300.03</v>
      </c>
      <c r="P26" s="481" t="n">
        <v>449.84</v>
      </c>
      <c r="Q26" s="482" t="n">
        <v>587.84</v>
      </c>
      <c r="R26" s="505" t="n"/>
      <c r="S26" s="507" t="n"/>
      <c r="T26" s="505" t="n"/>
      <c r="U26" s="42" t="n"/>
    </row>
    <row r="27" ht="15" customFormat="1" customHeight="1" s="2" thickBot="1">
      <c r="A27" s="45" t="n"/>
      <c r="B27" s="337" t="n">
        <v>50</v>
      </c>
      <c r="C27" s="337" t="inlineStr">
        <is>
          <t>PTX50</t>
        </is>
      </c>
      <c r="D27" s="337" t="n">
        <v>0</v>
      </c>
      <c r="E27" s="500" t="n">
        <v>600</v>
      </c>
      <c r="F27" s="163">
        <f>IF(AND(D27&lt;0,E27=0)=TRUE,0.98*D27,IF(AND(D27=0,E27&gt;0)=TRUE,0,IF(D27=-E27,0.98*D27,IF(AND(D27=-20,E27=100)=TRUE,0.98*D27,IF(AND(D27=-35,E27=300)=TRUE,0.98*D27,IF(AND(D27=-100,E27=160)=TRUE,80,IF(AND(D27=-100,E27=900)=TRUE,80,"x")))))))</f>
        <v/>
      </c>
      <c r="G27" s="90">
        <f>IF(AND(D27&lt;0,E27=0)=TRUE,0.75*D27,IF(AND(D27=0,E27&gt;0)=TRUE,0.25*E27,IF(D27=-E27,0.5*D27,IF(AND(D27=-20,E27=100)=TRUE,0,IF(AND(D27=-35,E27=300)=TRUE,0,IF(AND(D27=-100,E27=160)=TRUE,0,IF(AND(D27=-100,E27=900)=TRUE,0,"x")))))))</f>
        <v/>
      </c>
      <c r="H27" s="90">
        <f>IF(AND(D27&lt;0,E27=0)=TRUE,0.5*D27,IF(AND(D27=0,E27&gt;0)=TRUE,0.5*E27,IF(D27=-E27,0,IF(AND(D27=-20,E27=100)=TRUE,0.33*E27,IF(AND(D27=-35,E27=300)=TRUE,0.33*E27,IF(AND(D27=-100,E27=160)=TRUE,0.33*E27,IF(AND(D27=-100,E27=900)=TRUE,0.33*E27,"x")))))))</f>
        <v/>
      </c>
      <c r="I27" s="90">
        <f>IF(AND(D27&lt;0,E27=0)=TRUE,0.25*D27,IF(AND(D27=0,E27&gt;0)=TRUE,0.75*E27,IF(D27=-E27,0.5*E27,IF(AND(D27=-20,E27=100)=TRUE,0.66*E27,IF(AND(D27=-35,E27=300)=TRUE,0.66*E27,IF(AND(D27=-100,E27=160)=TRUE,0.66*E27,IF(AND(D27=-100,E27=900)=TRUE,0.66*E27,"x")))))))</f>
        <v/>
      </c>
      <c r="J27" s="91">
        <f>IF(AND(D27&lt;0,E27=0)=TRUE,0*D27,IF(AND(D27=0,E27&gt;0)=TRUE,0.98*E27,IF(D27=-E27,0.98*E27,IF(AND(D27=-20,E27=100)=TRUE,0.98*E27,IF(AND(D27=-35,E27=300)=TRUE,0.98*E27,IF(AND(D27=-100,E27=160)=TRUE,0.98*E27,IF(AND(D27=-100,E27=900)=TRUE,0.98*E27,"x")))))))</f>
        <v/>
      </c>
      <c r="K27" s="501" t="inlineStr">
        <is>
          <t>Fail</t>
        </is>
      </c>
      <c r="L27" s="502" t="inlineStr">
        <is>
          <t>-</t>
        </is>
      </c>
      <c r="M27" s="92">
        <f>F27</f>
        <v/>
      </c>
      <c r="N27" s="93">
        <f>G27</f>
        <v/>
      </c>
      <c r="O27" s="94">
        <f>H27</f>
        <v/>
      </c>
      <c r="P27" s="93">
        <f>I27</f>
        <v/>
      </c>
      <c r="Q27" s="95">
        <f>J27</f>
        <v/>
      </c>
      <c r="R27" s="503" t="inlineStr">
        <is>
          <t>kPa</t>
        </is>
      </c>
      <c r="S27" s="504">
        <f>IF(D27&lt;E27,(E27-D27)*0.002,"x")</f>
        <v/>
      </c>
      <c r="T27" s="503" t="n">
        <v>3354505</v>
      </c>
      <c r="U27" s="42" t="n"/>
    </row>
    <row r="28" ht="15" customFormat="1" customHeight="1" s="2" thickBot="1">
      <c r="A28" s="45" t="n"/>
      <c r="B28" s="505" t="n"/>
      <c r="C28" s="505" t="n"/>
      <c r="D28" s="505" t="n"/>
      <c r="E28" s="506" t="n"/>
      <c r="F28" s="480" t="n">
        <v>1.7</v>
      </c>
      <c r="G28" s="481" t="n">
        <v>152.12</v>
      </c>
      <c r="H28" s="481" t="n">
        <v>302.35</v>
      </c>
      <c r="I28" s="481" t="n">
        <v>452.22</v>
      </c>
      <c r="J28" s="482" t="n">
        <v>589.9400000000001</v>
      </c>
      <c r="K28" s="505" t="n"/>
      <c r="L28" s="505" t="n"/>
      <c r="M28" s="480" t="n">
        <v>0</v>
      </c>
      <c r="N28" s="481" t="n">
        <v>150.03</v>
      </c>
      <c r="O28" s="481" t="n">
        <v>300.26</v>
      </c>
      <c r="P28" s="481" t="n">
        <v>450.15</v>
      </c>
      <c r="Q28" s="482" t="n">
        <v>588.22</v>
      </c>
      <c r="R28" s="505" t="n"/>
      <c r="S28" s="507" t="n"/>
      <c r="T28" s="505" t="n"/>
      <c r="U28" s="42" t="n"/>
    </row>
    <row r="29" ht="15" customFormat="1" customHeight="1" s="2" thickBot="1">
      <c r="A29" s="45" t="n"/>
      <c r="B29" s="337" t="n">
        <v>51</v>
      </c>
      <c r="C29" s="337" t="inlineStr">
        <is>
          <t>PTX51</t>
        </is>
      </c>
      <c r="D29" s="337" t="n">
        <v>0</v>
      </c>
      <c r="E29" s="500" t="n">
        <v>600</v>
      </c>
      <c r="F29" s="163">
        <f>IF(AND(D29&lt;0,E29=0)=TRUE,0.98*D29,IF(AND(D29=0,E29&gt;0)=TRUE,0,IF(D29=-E29,0.98*D29,IF(AND(D29=-20,E29=100)=TRUE,0.98*D29,IF(AND(D29=-35,E29=300)=TRUE,0.98*D29,IF(AND(D29=-100,E29=160)=TRUE,80,IF(AND(D29=-100,E29=900)=TRUE,80,"x")))))))</f>
        <v/>
      </c>
      <c r="G29" s="90">
        <f>IF(AND(D29&lt;0,E29=0)=TRUE,0.75*D29,IF(AND(D29=0,E29&gt;0)=TRUE,0.25*E29,IF(D29=-E29,0.5*D29,IF(AND(D29=-20,E29=100)=TRUE,0,IF(AND(D29=-35,E29=300)=TRUE,0,IF(AND(D29=-100,E29=160)=TRUE,0,IF(AND(D29=-100,E29=900)=TRUE,0,"x")))))))</f>
        <v/>
      </c>
      <c r="H29" s="90">
        <f>IF(AND(D29&lt;0,E29=0)=TRUE,0.5*D29,IF(AND(D29=0,E29&gt;0)=TRUE,0.5*E29,IF(D29=-E29,0,IF(AND(D29=-20,E29=100)=TRUE,0.33*E29,IF(AND(D29=-35,E29=300)=TRUE,0.33*E29,IF(AND(D29=-100,E29=160)=TRUE,0.33*E29,IF(AND(D29=-100,E29=900)=TRUE,0.33*E29,"x")))))))</f>
        <v/>
      </c>
      <c r="I29" s="90">
        <f>IF(AND(D29&lt;0,E29=0)=TRUE,0.25*D29,IF(AND(D29=0,E29&gt;0)=TRUE,0.75*E29,IF(D29=-E29,0.5*E29,IF(AND(D29=-20,E29=100)=TRUE,0.66*E29,IF(AND(D29=-35,E29=300)=TRUE,0.66*E29,IF(AND(D29=-100,E29=160)=TRUE,0.66*E29,IF(AND(D29=-100,E29=900)=TRUE,0.66*E29,"x")))))))</f>
        <v/>
      </c>
      <c r="J29" s="91">
        <f>IF(AND(D29&lt;0,E29=0)=TRUE,0*D29,IF(AND(D29=0,E29&gt;0)=TRUE,0.98*E29,IF(D29=-E29,0.98*E29,IF(AND(D29=-20,E29=100)=TRUE,0.98*E29,IF(AND(D29=-35,E29=300)=TRUE,0.98*E29,IF(AND(D29=-100,E29=160)=TRUE,0.98*E29,IF(AND(D29=-100,E29=900)=TRUE,0.98*E29,"x")))))))</f>
        <v/>
      </c>
      <c r="K29" s="501" t="inlineStr">
        <is>
          <t>Pass</t>
        </is>
      </c>
      <c r="L29" s="502" t="inlineStr">
        <is>
          <t>-</t>
        </is>
      </c>
      <c r="M29" s="92">
        <f>F29</f>
        <v/>
      </c>
      <c r="N29" s="93">
        <f>G29</f>
        <v/>
      </c>
      <c r="O29" s="94">
        <f>H29</f>
        <v/>
      </c>
      <c r="P29" s="93">
        <f>I29</f>
        <v/>
      </c>
      <c r="Q29" s="95">
        <f>J29</f>
        <v/>
      </c>
      <c r="R29" s="503" t="inlineStr">
        <is>
          <t>kPa</t>
        </is>
      </c>
      <c r="S29" s="504">
        <f>IF(D29&lt;E29,(E29-D29)*0.002,"x")</f>
        <v/>
      </c>
      <c r="T29" s="503" t="n">
        <v>3332224</v>
      </c>
      <c r="U29" s="42" t="n"/>
    </row>
    <row r="30" ht="15" customFormat="1" customHeight="1" s="2" thickBot="1">
      <c r="A30" s="45" t="n"/>
      <c r="B30" s="505" t="n"/>
      <c r="C30" s="505" t="n"/>
      <c r="D30" s="505" t="n"/>
      <c r="E30" s="506" t="n"/>
      <c r="F30" s="480" t="n">
        <v>0</v>
      </c>
      <c r="G30" s="481" t="n">
        <v>150</v>
      </c>
      <c r="H30" s="481" t="n">
        <v>300.03</v>
      </c>
      <c r="I30" s="481" t="n">
        <v>450</v>
      </c>
      <c r="J30" s="482" t="n">
        <v>588</v>
      </c>
      <c r="K30" s="505" t="n"/>
      <c r="L30" s="505" t="n"/>
      <c r="M30" s="480" t="n"/>
      <c r="N30" s="481" t="n"/>
      <c r="O30" s="481" t="n"/>
      <c r="P30" s="481" t="n"/>
      <c r="Q30" s="482" t="n"/>
      <c r="R30" s="505" t="n"/>
      <c r="S30" s="507" t="n"/>
      <c r="T30" s="505" t="n"/>
      <c r="U30" s="42" t="n"/>
    </row>
    <row r="31" ht="15" customFormat="1" customHeight="1" s="2" thickBot="1">
      <c r="A31" s="45" t="n"/>
      <c r="B31" s="337" t="n">
        <v>52</v>
      </c>
      <c r="C31" s="337" t="inlineStr">
        <is>
          <t>PTX52</t>
        </is>
      </c>
      <c r="D31" s="337" t="n">
        <v>-35</v>
      </c>
      <c r="E31" s="500" t="n">
        <v>35</v>
      </c>
      <c r="F31" s="163">
        <f>IF(AND(D31&lt;0,E31=0)=TRUE,0.98*D31,IF(AND(D31=0,E31&gt;0)=TRUE,0,IF(D31=-E31,0.98*D31,IF(AND(D31=-20,E31=100)=TRUE,0.98*D31,IF(AND(D31=-35,E31=300)=TRUE,0.98*D31,IF(AND(D31=-100,E31=160)=TRUE,80,IF(AND(D31=-100,E31=900)=TRUE,80,"x")))))))</f>
        <v/>
      </c>
      <c r="G31" s="90">
        <f>IF(AND(D31&lt;0,E31=0)=TRUE,0.75*D31,IF(AND(D31=0,E31&gt;0)=TRUE,0.25*E31,IF(D31=-E31,0.5*D31,IF(AND(D31=-20,E31=100)=TRUE,0,IF(AND(D31=-35,E31=300)=TRUE,0,IF(AND(D31=-100,E31=160)=TRUE,0,IF(AND(D31=-100,E31=900)=TRUE,0,"x")))))))</f>
        <v/>
      </c>
      <c r="H31" s="90">
        <f>IF(AND(D31&lt;0,E31=0)=TRUE,0.5*D31,IF(AND(D31=0,E31&gt;0)=TRUE,0.5*E31,IF(D31=-E31,0,IF(AND(D31=-20,E31=100)=TRUE,0.33*E31,IF(AND(D31=-35,E31=300)=TRUE,0.33*E31,IF(AND(D31=-100,E31=160)=TRUE,0.33*E31,IF(AND(D31=-100,E31=900)=TRUE,0.33*E31,"x")))))))</f>
        <v/>
      </c>
      <c r="I31" s="90">
        <f>IF(AND(D31&lt;0,E31=0)=TRUE,0.25*D31,IF(AND(D31=0,E31&gt;0)=TRUE,0.75*E31,IF(D31=-E31,0.5*E31,IF(AND(D31=-20,E31=100)=TRUE,0.66*E31,IF(AND(D31=-35,E31=300)=TRUE,0.66*E31,IF(AND(D31=-100,E31=160)=TRUE,0.66*E31,IF(AND(D31=-100,E31=900)=TRUE,0.66*E31,"x")))))))</f>
        <v/>
      </c>
      <c r="J31" s="91">
        <f>IF(AND(D31&lt;0,E31=0)=TRUE,0*D31,IF(AND(D31=0,E31&gt;0)=TRUE,0.98*E31,IF(D31=-E31,0.98*E31,IF(AND(D31=-20,E31=100)=TRUE,0.98*E31,IF(AND(D31=-35,E31=300)=TRUE,0.98*E31,IF(AND(D31=-100,E31=160)=TRUE,0.98*E31,IF(AND(D31=-100,E31=900)=TRUE,0.98*E31,"x")))))))</f>
        <v/>
      </c>
      <c r="K31" s="501" t="inlineStr">
        <is>
          <t>Pass</t>
        </is>
      </c>
      <c r="L31" s="502" t="inlineStr">
        <is>
          <t>-</t>
        </is>
      </c>
      <c r="M31" s="92">
        <f>F31</f>
        <v/>
      </c>
      <c r="N31" s="93">
        <f>G31</f>
        <v/>
      </c>
      <c r="O31" s="94">
        <f>H31</f>
        <v/>
      </c>
      <c r="P31" s="93">
        <f>I31</f>
        <v/>
      </c>
      <c r="Q31" s="95">
        <f>J31</f>
        <v/>
      </c>
      <c r="R31" s="503" t="inlineStr">
        <is>
          <t>kPa</t>
        </is>
      </c>
      <c r="S31" s="504">
        <f>IF(D31&lt;E31,(E31-D31)*0.002,"x")</f>
        <v/>
      </c>
      <c r="T31" s="503" t="n">
        <v>3369308</v>
      </c>
      <c r="U31" s="42" t="n"/>
    </row>
    <row r="32" ht="15" customFormat="1" customHeight="1" s="2" thickBot="1">
      <c r="A32" s="45" t="n"/>
      <c r="B32" s="505" t="n"/>
      <c r="C32" s="505" t="n"/>
      <c r="D32" s="505" t="n"/>
      <c r="E32" s="506" t="n"/>
      <c r="F32" s="480" t="n">
        <v>-34.29</v>
      </c>
      <c r="G32" s="481" t="n">
        <v>-17.5</v>
      </c>
      <c r="H32" s="481" t="n">
        <v>0</v>
      </c>
      <c r="I32" s="481" t="n">
        <v>17.5</v>
      </c>
      <c r="J32" s="482" t="n">
        <v>34.3</v>
      </c>
      <c r="K32" s="505" t="n"/>
      <c r="L32" s="505" t="n"/>
      <c r="M32" s="480" t="n"/>
      <c r="N32" s="481" t="n"/>
      <c r="O32" s="481" t="n"/>
      <c r="P32" s="481" t="n"/>
      <c r="Q32" s="482" t="n"/>
      <c r="R32" s="505" t="n"/>
      <c r="S32" s="507" t="n"/>
      <c r="T32" s="505" t="n"/>
      <c r="U32" s="42" t="n"/>
    </row>
    <row r="33" ht="15" customFormat="1" customHeight="1" s="2" thickBot="1">
      <c r="A33" s="45" t="n"/>
      <c r="B33" s="337" t="n">
        <v>53</v>
      </c>
      <c r="C33" s="337" t="inlineStr">
        <is>
          <t>PTX53</t>
        </is>
      </c>
      <c r="D33" s="337" t="n">
        <v>-35</v>
      </c>
      <c r="E33" s="500" t="n">
        <v>35</v>
      </c>
      <c r="F33" s="163">
        <f>IF(AND(D33&lt;0,E33=0)=TRUE,0.98*D33,IF(AND(D33=0,E33&gt;0)=TRUE,0,IF(D33=-E33,0.98*D33,IF(AND(D33=-20,E33=100)=TRUE,0.98*D33,IF(AND(D33=-35,E33=300)=TRUE,0.98*D33,IF(AND(D33=-100,E33=160)=TRUE,80,IF(AND(D33=-100,E33=900)=TRUE,80,"x")))))))</f>
        <v/>
      </c>
      <c r="G33" s="90">
        <f>IF(AND(D33&lt;0,E33=0)=TRUE,0.75*D33,IF(AND(D33=0,E33&gt;0)=TRUE,0.25*E33,IF(D33=-E33,0.5*D33,IF(AND(D33=-20,E33=100)=TRUE,0,IF(AND(D33=-35,E33=300)=TRUE,0,IF(AND(D33=-100,E33=160)=TRUE,0,IF(AND(D33=-100,E33=900)=TRUE,0,"x")))))))</f>
        <v/>
      </c>
      <c r="H33" s="90">
        <f>IF(AND(D33&lt;0,E33=0)=TRUE,0.5*D33,IF(AND(D33=0,E33&gt;0)=TRUE,0.5*E33,IF(D33=-E33,0,IF(AND(D33=-20,E33=100)=TRUE,0.33*E33,IF(AND(D33=-35,E33=300)=TRUE,0.33*E33,IF(AND(D33=-100,E33=160)=TRUE,0.33*E33,IF(AND(D33=-100,E33=900)=TRUE,0.33*E33,"x")))))))</f>
        <v/>
      </c>
      <c r="I33" s="90">
        <f>IF(AND(D33&lt;0,E33=0)=TRUE,0.25*D33,IF(AND(D33=0,E33&gt;0)=TRUE,0.75*E33,IF(D33=-E33,0.5*E33,IF(AND(D33=-20,E33=100)=TRUE,0.66*E33,IF(AND(D33=-35,E33=300)=TRUE,0.66*E33,IF(AND(D33=-100,E33=160)=TRUE,0.66*E33,IF(AND(D33=-100,E33=900)=TRUE,0.66*E33,"x")))))))</f>
        <v/>
      </c>
      <c r="J33" s="91">
        <f>IF(AND(D33&lt;0,E33=0)=TRUE,0*D33,IF(AND(D33=0,E33&gt;0)=TRUE,0.98*E33,IF(D33=-E33,0.98*E33,IF(AND(D33=-20,E33=100)=TRUE,0.98*E33,IF(AND(D33=-35,E33=300)=TRUE,0.98*E33,IF(AND(D33=-100,E33=160)=TRUE,0.98*E33,IF(AND(D33=-100,E33=900)=TRUE,0.98*E33,"x")))))))</f>
        <v/>
      </c>
      <c r="K33" s="501" t="inlineStr">
        <is>
          <t>Fail</t>
        </is>
      </c>
      <c r="L33" s="502" t="inlineStr">
        <is>
          <t>-</t>
        </is>
      </c>
      <c r="M33" s="92">
        <f>F33</f>
        <v/>
      </c>
      <c r="N33" s="93">
        <f>G33</f>
        <v/>
      </c>
      <c r="O33" s="94">
        <f>H33</f>
        <v/>
      </c>
      <c r="P33" s="93">
        <f>I33</f>
        <v/>
      </c>
      <c r="Q33" s="95">
        <f>J33</f>
        <v/>
      </c>
      <c r="R33" s="503" t="inlineStr">
        <is>
          <t>kPa</t>
        </is>
      </c>
      <c r="S33" s="504">
        <f>IF(D33&lt;E33,(E33-D33)*0.002,"x")</f>
        <v/>
      </c>
      <c r="T33" s="503" t="n">
        <v>3362626</v>
      </c>
      <c r="U33" s="42" t="n"/>
    </row>
    <row r="34" ht="15" customFormat="1" customHeight="1" s="2" thickBot="1">
      <c r="A34" s="45" t="n"/>
      <c r="B34" s="505" t="n"/>
      <c r="C34" s="505" t="n"/>
      <c r="D34" s="505" t="n"/>
      <c r="E34" s="506" t="n"/>
      <c r="F34" s="480" t="n">
        <v>-34.33</v>
      </c>
      <c r="G34" s="481" t="n">
        <v>-17.62</v>
      </c>
      <c r="H34" s="481" t="n">
        <v>0.03</v>
      </c>
      <c r="I34" s="481" t="n">
        <v>17.34</v>
      </c>
      <c r="J34" s="482" t="n">
        <v>34.18</v>
      </c>
      <c r="K34" s="505" t="n"/>
      <c r="L34" s="505" t="n"/>
      <c r="M34" s="480" t="n">
        <v>-34.29</v>
      </c>
      <c r="N34" s="481" t="n">
        <v>-17.53</v>
      </c>
      <c r="O34" s="481" t="n">
        <v>-0.09</v>
      </c>
      <c r="P34" s="481" t="n">
        <v>17.49</v>
      </c>
      <c r="Q34" s="482" t="n">
        <v>34.31</v>
      </c>
      <c r="R34" s="505" t="n"/>
      <c r="S34" s="507" t="n"/>
      <c r="T34" s="505" t="n"/>
      <c r="U34" s="42" t="n"/>
    </row>
    <row r="35" ht="15" customFormat="1" customHeight="1" s="2" thickBot="1">
      <c r="A35" s="45" t="n"/>
      <c r="B35" s="337" t="n">
        <v>54</v>
      </c>
      <c r="C35" s="337" t="inlineStr">
        <is>
          <t>PTX54</t>
        </is>
      </c>
      <c r="D35" s="337" t="n">
        <v>0</v>
      </c>
      <c r="E35" s="500" t="n">
        <v>1000</v>
      </c>
      <c r="F35" s="163">
        <f>IF(AND(D35&lt;0,E35=0)=TRUE,0.98*D35,IF(AND(D35=0,E35&gt;0)=TRUE,0,IF(D35=-E35,0.98*D35,IF(AND(D35=-20,E35=100)=TRUE,0.98*D35,IF(AND(D35=-35,E35=300)=TRUE,0.98*D35,IF(AND(D35=-100,E35=160)=TRUE,80,IF(AND(D35=-100,E35=900)=TRUE,80,"x")))))))</f>
        <v/>
      </c>
      <c r="G35" s="90">
        <f>IF(AND(D35&lt;0,E35=0)=TRUE,0.75*D35,IF(AND(D35=0,E35&gt;0)=TRUE,0.25*E35,IF(D35=-E35,0.5*D35,IF(AND(D35=-20,E35=100)=TRUE,0,IF(AND(D35=-35,E35=300)=TRUE,0,IF(AND(D35=-100,E35=160)=TRUE,0,IF(AND(D35=-100,E35=900)=TRUE,0,"x")))))))</f>
        <v/>
      </c>
      <c r="H35" s="90">
        <f>IF(AND(D35&lt;0,E35=0)=TRUE,0.5*D35,IF(AND(D35=0,E35&gt;0)=TRUE,0.5*E35,IF(D35=-E35,0,IF(AND(D35=-20,E35=100)=TRUE,0.33*E35,IF(AND(D35=-35,E35=300)=TRUE,0.33*E35,IF(AND(D35=-100,E35=160)=TRUE,0.33*E35,IF(AND(D35=-100,E35=900)=TRUE,0.33*E35,"x")))))))</f>
        <v/>
      </c>
      <c r="I35" s="90">
        <f>IF(AND(D35&lt;0,E35=0)=TRUE,0.25*D35,IF(AND(D35=0,E35&gt;0)=TRUE,0.75*E35,IF(D35=-E35,0.5*E35,IF(AND(D35=-20,E35=100)=TRUE,0.66*E35,IF(AND(D35=-35,E35=300)=TRUE,0.66*E35,IF(AND(D35=-100,E35=160)=TRUE,0.66*E35,IF(AND(D35=-100,E35=900)=TRUE,0.66*E35,"x")))))))</f>
        <v/>
      </c>
      <c r="J35" s="91">
        <f>IF(AND(D35&lt;0,E35=0)=TRUE,0*D35,IF(AND(D35=0,E35&gt;0)=TRUE,0.98*E35,IF(D35=-E35,0.98*E35,IF(AND(D35=-20,E35=100)=TRUE,0.98*E35,IF(AND(D35=-35,E35=300)=TRUE,0.98*E35,IF(AND(D35=-100,E35=160)=TRUE,0.98*E35,IF(AND(D35=-100,E35=900)=TRUE,0.98*E35,"x")))))))</f>
        <v/>
      </c>
      <c r="K35" s="501" t="inlineStr">
        <is>
          <t>Pass</t>
        </is>
      </c>
      <c r="L35" s="502" t="inlineStr">
        <is>
          <t>-</t>
        </is>
      </c>
      <c r="M35" s="92">
        <f>F35</f>
        <v/>
      </c>
      <c r="N35" s="93">
        <f>G35</f>
        <v/>
      </c>
      <c r="O35" s="94">
        <f>H35</f>
        <v/>
      </c>
      <c r="P35" s="93">
        <f>I35</f>
        <v/>
      </c>
      <c r="Q35" s="95">
        <f>J35</f>
        <v/>
      </c>
      <c r="R35" s="503" t="inlineStr">
        <is>
          <t>kPa</t>
        </is>
      </c>
      <c r="S35" s="504">
        <f>IF(D35&lt;E35,(E35-D35)*0.002,"x")</f>
        <v/>
      </c>
      <c r="T35" s="503" t="n">
        <v>5431374</v>
      </c>
      <c r="U35" s="42" t="n"/>
    </row>
    <row r="36" ht="15" customFormat="1" customHeight="1" s="2" thickBot="1">
      <c r="A36" s="45" t="n"/>
      <c r="B36" s="505" t="n"/>
      <c r="C36" s="505" t="n"/>
      <c r="D36" s="505" t="n"/>
      <c r="E36" s="506" t="n"/>
      <c r="F36" s="480" t="n">
        <v>0</v>
      </c>
      <c r="G36" s="481" t="n">
        <v>250.06</v>
      </c>
      <c r="H36" s="481" t="n">
        <v>500.06</v>
      </c>
      <c r="I36" s="481" t="n">
        <v>750</v>
      </c>
      <c r="J36" s="482" t="n">
        <v>979.6799999999999</v>
      </c>
      <c r="K36" s="505" t="n"/>
      <c r="L36" s="505" t="n"/>
      <c r="M36" s="480" t="n"/>
      <c r="N36" s="481" t="n"/>
      <c r="O36" s="481" t="n"/>
      <c r="P36" s="481" t="n"/>
      <c r="Q36" s="482" t="n"/>
      <c r="R36" s="505" t="n"/>
      <c r="S36" s="507" t="n"/>
      <c r="T36" s="505" t="n"/>
      <c r="U36" s="42" t="n"/>
    </row>
    <row r="37" ht="15" customFormat="1" customHeight="1" s="2" thickBot="1">
      <c r="A37" s="45" t="n"/>
      <c r="B37" s="337" t="n">
        <v>55</v>
      </c>
      <c r="C37" s="337" t="inlineStr">
        <is>
          <t>PTX55</t>
        </is>
      </c>
      <c r="D37" s="337" t="n">
        <v>0</v>
      </c>
      <c r="E37" s="500" t="n">
        <v>1000</v>
      </c>
      <c r="F37" s="163">
        <f>IF(AND(D37&lt;0,E37=0)=TRUE,0.98*D37,IF(AND(D37=0,E37&gt;0)=TRUE,0,IF(D37=-E37,0.98*D37,IF(AND(D37=-20,E37=100)=TRUE,0.98*D37,IF(AND(D37=-35,E37=300)=TRUE,0.98*D37,IF(AND(D37=-100,E37=160)=TRUE,80,IF(AND(D37=-100,E37=900)=TRUE,80,"x")))))))</f>
        <v/>
      </c>
      <c r="G37" s="90">
        <f>IF(AND(D37&lt;0,E37=0)=TRUE,0.75*D37,IF(AND(D37=0,E37&gt;0)=TRUE,0.25*E37,IF(D37=-E37,0.5*D37,IF(AND(D37=-20,E37=100)=TRUE,0,IF(AND(D37=-35,E37=300)=TRUE,0,IF(AND(D37=-100,E37=160)=TRUE,0,IF(AND(D37=-100,E37=900)=TRUE,0,"x")))))))</f>
        <v/>
      </c>
      <c r="H37" s="90">
        <f>IF(AND(D37&lt;0,E37=0)=TRUE,0.5*D37,IF(AND(D37=0,E37&gt;0)=TRUE,0.5*E37,IF(D37=-E37,0,IF(AND(D37=-20,E37=100)=TRUE,0.33*E37,IF(AND(D37=-35,E37=300)=TRUE,0.33*E37,IF(AND(D37=-100,E37=160)=TRUE,0.33*E37,IF(AND(D37=-100,E37=900)=TRUE,0.33*E37,"x")))))))</f>
        <v/>
      </c>
      <c r="I37" s="90">
        <f>IF(AND(D37&lt;0,E37=0)=TRUE,0.25*D37,IF(AND(D37=0,E37&gt;0)=TRUE,0.75*E37,IF(D37=-E37,0.5*E37,IF(AND(D37=-20,E37=100)=TRUE,0.66*E37,IF(AND(D37=-35,E37=300)=TRUE,0.66*E37,IF(AND(D37=-100,E37=160)=TRUE,0.66*E37,IF(AND(D37=-100,E37=900)=TRUE,0.66*E37,"x")))))))</f>
        <v/>
      </c>
      <c r="J37" s="91">
        <f>IF(AND(D37&lt;0,E37=0)=TRUE,0*D37,IF(AND(D37=0,E37&gt;0)=TRUE,0.98*E37,IF(D37=-E37,0.98*E37,IF(AND(D37=-20,E37=100)=TRUE,0.98*E37,IF(AND(D37=-35,E37=300)=TRUE,0.98*E37,IF(AND(D37=-100,E37=160)=TRUE,0.98*E37,IF(AND(D37=-100,E37=900)=TRUE,0.98*E37,"x")))))))</f>
        <v/>
      </c>
      <c r="K37" s="501" t="inlineStr">
        <is>
          <t>Pass</t>
        </is>
      </c>
      <c r="L37" s="502" t="inlineStr">
        <is>
          <t>-</t>
        </is>
      </c>
      <c r="M37" s="92">
        <f>F37</f>
        <v/>
      </c>
      <c r="N37" s="93">
        <f>G37</f>
        <v/>
      </c>
      <c r="O37" s="94">
        <f>H37</f>
        <v/>
      </c>
      <c r="P37" s="93">
        <f>I37</f>
        <v/>
      </c>
      <c r="Q37" s="95">
        <f>J37</f>
        <v/>
      </c>
      <c r="R37" s="503" t="inlineStr">
        <is>
          <t>kPa</t>
        </is>
      </c>
      <c r="S37" s="504">
        <f>IF(D37&lt;E37,(E37-D37)*0.002,"x")</f>
        <v/>
      </c>
      <c r="T37" s="503" t="n">
        <v>5702968</v>
      </c>
      <c r="U37" s="42" t="n"/>
    </row>
    <row r="38" ht="15" customFormat="1" customHeight="1" s="2" thickBot="1">
      <c r="A38" s="45" t="n"/>
      <c r="B38" s="505" t="n"/>
      <c r="C38" s="505" t="n"/>
      <c r="D38" s="505" t="n"/>
      <c r="E38" s="506" t="n"/>
      <c r="F38" s="480" t="n">
        <v>0</v>
      </c>
      <c r="G38" s="480" t="n">
        <v>250</v>
      </c>
      <c r="H38" s="480" t="n">
        <v>500.12</v>
      </c>
      <c r="I38" s="480" t="n">
        <v>750.1799999999999</v>
      </c>
      <c r="J38" s="480" t="n">
        <v>980.1799999999999</v>
      </c>
      <c r="K38" s="505" t="n"/>
      <c r="L38" s="505" t="n"/>
      <c r="M38" s="480" t="n"/>
      <c r="N38" s="481" t="n"/>
      <c r="O38" s="481" t="n"/>
      <c r="P38" s="481" t="n"/>
      <c r="Q38" s="482" t="n"/>
      <c r="R38" s="505" t="n"/>
      <c r="S38" s="507" t="n"/>
      <c r="T38" s="505" t="n"/>
      <c r="U38" s="42" t="n"/>
    </row>
    <row r="39" ht="15" customFormat="1" customHeight="1" s="2" thickBot="1">
      <c r="A39" s="45" t="n"/>
      <c r="B39" s="337" t="n">
        <v>56</v>
      </c>
      <c r="C39" s="337" t="inlineStr">
        <is>
          <t>PTX56</t>
        </is>
      </c>
      <c r="D39" s="337" t="n">
        <v>0</v>
      </c>
      <c r="E39" s="500" t="n">
        <v>600</v>
      </c>
      <c r="F39" s="163">
        <f>IF(AND(D39&lt;0,E39=0)=TRUE,0.98*D39,IF(AND(D39=0,E39&gt;0)=TRUE,0,IF(D39=-E39,0.98*D39,IF(AND(D39=-20,E39=100)=TRUE,0.98*D39,IF(AND(D39=-35,E39=300)=TRUE,0.98*D39,IF(AND(D39=-100,E39=160)=TRUE,80,IF(AND(D39=-100,E39=900)=TRUE,80,"x")))))))</f>
        <v/>
      </c>
      <c r="G39" s="90">
        <f>IF(AND(D39&lt;0,E39=0)=TRUE,0.75*D39,IF(AND(D39=0,E39&gt;0)=TRUE,0.25*E39,IF(D39=-E39,0.5*D39,IF(AND(D39=-20,E39=100)=TRUE,0,IF(AND(D39=-35,E39=300)=TRUE,0,IF(AND(D39=-100,E39=160)=TRUE,0,IF(AND(D39=-100,E39=900)=TRUE,0,"x")))))))</f>
        <v/>
      </c>
      <c r="H39" s="90">
        <f>IF(AND(D39&lt;0,E39=0)=TRUE,0.5*D39,IF(AND(D39=0,E39&gt;0)=TRUE,0.5*E39,IF(D39=-E39,0,IF(AND(D39=-20,E39=100)=TRUE,0.33*E39,IF(AND(D39=-35,E39=300)=TRUE,0.33*E39,IF(AND(D39=-100,E39=160)=TRUE,0.33*E39,IF(AND(D39=-100,E39=900)=TRUE,0.33*E39,"x")))))))</f>
        <v/>
      </c>
      <c r="I39" s="90">
        <f>IF(AND(D39&lt;0,E39=0)=TRUE,0.25*D39,IF(AND(D39=0,E39&gt;0)=TRUE,0.75*E39,IF(D39=-E39,0.5*E39,IF(AND(D39=-20,E39=100)=TRUE,0.66*E39,IF(AND(D39=-35,E39=300)=TRUE,0.66*E39,IF(AND(D39=-100,E39=160)=TRUE,0.66*E39,IF(AND(D39=-100,E39=900)=TRUE,0.66*E39,"x")))))))</f>
        <v/>
      </c>
      <c r="J39" s="91">
        <f>IF(AND(D39&lt;0,E39=0)=TRUE,0*D39,IF(AND(D39=0,E39&gt;0)=TRUE,0.98*E39,IF(D39=-E39,0.98*E39,IF(AND(D39=-20,E39=100)=TRUE,0.98*E39,IF(AND(D39=-35,E39=300)=TRUE,0.98*E39,IF(AND(D39=-100,E39=160)=TRUE,0.98*E39,IF(AND(D39=-100,E39=900)=TRUE,0.98*E39,"x")))))))</f>
        <v/>
      </c>
      <c r="K39" s="501" t="inlineStr">
        <is>
          <t>Pass</t>
        </is>
      </c>
      <c r="L39" s="502" t="inlineStr">
        <is>
          <t>-</t>
        </is>
      </c>
      <c r="M39" s="92">
        <f>F39</f>
        <v/>
      </c>
      <c r="N39" s="93">
        <f>G39</f>
        <v/>
      </c>
      <c r="O39" s="94">
        <f>H39</f>
        <v/>
      </c>
      <c r="P39" s="93">
        <f>I39</f>
        <v/>
      </c>
      <c r="Q39" s="95">
        <f>J39</f>
        <v/>
      </c>
      <c r="R39" s="503" t="inlineStr">
        <is>
          <t>kPa</t>
        </is>
      </c>
      <c r="S39" s="504">
        <f>IF(D39&lt;E39,(E39-D39)*0.002,"x")</f>
        <v/>
      </c>
      <c r="T39" s="503" t="n">
        <v>3353633</v>
      </c>
      <c r="U39" s="42" t="n"/>
    </row>
    <row r="40" ht="15" customFormat="1" customHeight="1" s="2" thickBot="1">
      <c r="A40" s="45" t="n"/>
      <c r="B40" s="505" t="n"/>
      <c r="C40" s="505" t="n"/>
      <c r="D40" s="505" t="n"/>
      <c r="E40" s="506" t="n"/>
      <c r="F40" s="480" t="n">
        <v>0</v>
      </c>
      <c r="G40" s="481" t="n">
        <v>150.03</v>
      </c>
      <c r="H40" s="481" t="n">
        <v>300.41</v>
      </c>
      <c r="I40" s="481" t="n">
        <v>450.44</v>
      </c>
      <c r="J40" s="482" t="n">
        <v>588</v>
      </c>
      <c r="K40" s="505" t="n"/>
      <c r="L40" s="505" t="n"/>
      <c r="M40" s="480" t="n"/>
      <c r="N40" s="481" t="n"/>
      <c r="O40" s="481" t="n"/>
      <c r="P40" s="481" t="n"/>
      <c r="Q40" s="482" t="n"/>
      <c r="R40" s="505" t="n"/>
      <c r="S40" s="507" t="n"/>
      <c r="T40" s="505" t="n"/>
      <c r="U40" s="42" t="n"/>
    </row>
    <row r="41" ht="15" customFormat="1" customHeight="1" s="2" thickBot="1">
      <c r="A41" s="45" t="n"/>
      <c r="B41" s="337" t="n">
        <v>57</v>
      </c>
      <c r="C41" s="337" t="inlineStr">
        <is>
          <t>PTX57</t>
        </is>
      </c>
      <c r="D41" s="337" t="n">
        <v>0</v>
      </c>
      <c r="E41" s="500" t="n">
        <v>600</v>
      </c>
      <c r="F41" s="163">
        <f>IF(AND(D41&lt;0,E41=0)=TRUE,0.98*D41,IF(AND(D41=0,E41&gt;0)=TRUE,0,IF(D41=-E41,0.98*D41,IF(AND(D41=-20,E41=100)=TRUE,0.98*D41,IF(AND(D41=-35,E41=300)=TRUE,0.98*D41,IF(AND(D41=-100,E41=160)=TRUE,80,IF(AND(D41=-100,E41=900)=TRUE,80,"x")))))))</f>
        <v/>
      </c>
      <c r="G41" s="90">
        <f>IF(AND(D41&lt;0,E41=0)=TRUE,0.75*D41,IF(AND(D41=0,E41&gt;0)=TRUE,0.25*E41,IF(D41=-E41,0.5*D41,IF(AND(D41=-20,E41=100)=TRUE,0,IF(AND(D41=-35,E41=300)=TRUE,0,IF(AND(D41=-100,E41=160)=TRUE,0,IF(AND(D41=-100,E41=900)=TRUE,0,"x")))))))</f>
        <v/>
      </c>
      <c r="H41" s="90">
        <f>IF(AND(D41&lt;0,E41=0)=TRUE,0.5*D41,IF(AND(D41=0,E41&gt;0)=TRUE,0.5*E41,IF(D41=-E41,0,IF(AND(D41=-20,E41=100)=TRUE,0.33*E41,IF(AND(D41=-35,E41=300)=TRUE,0.33*E41,IF(AND(D41=-100,E41=160)=TRUE,0.33*E41,IF(AND(D41=-100,E41=900)=TRUE,0.33*E41,"x")))))))</f>
        <v/>
      </c>
      <c r="I41" s="90">
        <f>IF(AND(D41&lt;0,E41=0)=TRUE,0.25*D41,IF(AND(D41=0,E41&gt;0)=TRUE,0.75*E41,IF(D41=-E41,0.5*E41,IF(AND(D41=-20,E41=100)=TRUE,0.66*E41,IF(AND(D41=-35,E41=300)=TRUE,0.66*E41,IF(AND(D41=-100,E41=160)=TRUE,0.66*E41,IF(AND(D41=-100,E41=900)=TRUE,0.66*E41,"x")))))))</f>
        <v/>
      </c>
      <c r="J41" s="91">
        <f>IF(AND(D41&lt;0,E41=0)=TRUE,0*D41,IF(AND(D41=0,E41&gt;0)=TRUE,0.98*E41,IF(D41=-E41,0.98*E41,IF(AND(D41=-20,E41=100)=TRUE,0.98*E41,IF(AND(D41=-35,E41=300)=TRUE,0.98*E41,IF(AND(D41=-100,E41=160)=TRUE,0.98*E41,IF(AND(D41=-100,E41=900)=TRUE,0.98*E41,"x")))))))</f>
        <v/>
      </c>
      <c r="K41" s="501" t="inlineStr">
        <is>
          <t>Fail</t>
        </is>
      </c>
      <c r="L41" s="502" t="inlineStr">
        <is>
          <t>-</t>
        </is>
      </c>
      <c r="M41" s="92">
        <f>F41</f>
        <v/>
      </c>
      <c r="N41" s="93">
        <f>G41</f>
        <v/>
      </c>
      <c r="O41" s="94">
        <f>H41</f>
        <v/>
      </c>
      <c r="P41" s="93">
        <f>I41</f>
        <v/>
      </c>
      <c r="Q41" s="95">
        <f>J41</f>
        <v/>
      </c>
      <c r="R41" s="503" t="inlineStr">
        <is>
          <t>kPa</t>
        </is>
      </c>
      <c r="S41" s="504">
        <f>IF(D41&lt;E41,(E41-D41)*0.002,"x")</f>
        <v/>
      </c>
      <c r="T41" s="503" t="n">
        <v>3354504</v>
      </c>
      <c r="U41" s="42" t="n"/>
    </row>
    <row r="42" ht="15" customFormat="1" customHeight="1" s="2" thickBot="1">
      <c r="A42" s="45" t="n"/>
      <c r="B42" s="505" t="n"/>
      <c r="C42" s="505" t="n"/>
      <c r="D42" s="505" t="n"/>
      <c r="E42" s="506" t="n"/>
      <c r="F42" s="480" t="n">
        <v>1.16</v>
      </c>
      <c r="G42" s="481" t="n">
        <v>154.78</v>
      </c>
      <c r="H42" s="481" t="n">
        <v>306.1</v>
      </c>
      <c r="I42" s="481" t="n">
        <v>456.1</v>
      </c>
      <c r="J42" s="482" t="n">
        <v>594.21</v>
      </c>
      <c r="K42" s="505" t="n"/>
      <c r="L42" s="505" t="n"/>
      <c r="M42" s="480" t="n">
        <v>-0.03</v>
      </c>
      <c r="N42" s="481" t="n">
        <v>150.11</v>
      </c>
      <c r="O42" s="481" t="n">
        <v>299.92</v>
      </c>
      <c r="P42" s="481" t="n">
        <v>450.11</v>
      </c>
      <c r="Q42" s="482" t="n">
        <v>588</v>
      </c>
      <c r="R42" s="505" t="n"/>
      <c r="S42" s="507" t="n"/>
      <c r="T42" s="505" t="n"/>
      <c r="U42" s="42" t="n"/>
    </row>
    <row r="43" ht="15" customFormat="1" customHeight="1" s="2" thickBot="1">
      <c r="A43" s="45" t="n"/>
      <c r="B43" s="337" t="n">
        <v>58</v>
      </c>
      <c r="C43" s="337" t="inlineStr">
        <is>
          <t>PTX58</t>
        </is>
      </c>
      <c r="D43" s="337" t="n">
        <v>0</v>
      </c>
      <c r="E43" s="500" t="n">
        <v>1000</v>
      </c>
      <c r="F43" s="163">
        <f>IF(AND(D43&lt;0,E43=0)=TRUE,0.98*D43,IF(AND(D43=0,E43&gt;0)=TRUE,0,IF(D43=-E43,0.98*D43,IF(AND(D43=-20,E43=100)=TRUE,0.98*D43,IF(AND(D43=-35,E43=300)=TRUE,0.98*D43,IF(AND(D43=-100,E43=160)=TRUE,80,IF(AND(D43=-100,E43=900)=TRUE,80,"x")))))))</f>
        <v/>
      </c>
      <c r="G43" s="90">
        <f>IF(AND(D43&lt;0,E43=0)=TRUE,0.75*D43,IF(AND(D43=0,E43&gt;0)=TRUE,0.25*E43,IF(D43=-E43,0.5*D43,IF(AND(D43=-20,E43=100)=TRUE,0,IF(AND(D43=-35,E43=300)=TRUE,0,IF(AND(D43=-100,E43=160)=TRUE,0,IF(AND(D43=-100,E43=900)=TRUE,0,"x")))))))</f>
        <v/>
      </c>
      <c r="H43" s="90">
        <f>IF(AND(D43&lt;0,E43=0)=TRUE,0.5*D43,IF(AND(D43=0,E43&gt;0)=TRUE,0.5*E43,IF(D43=-E43,0,IF(AND(D43=-20,E43=100)=TRUE,0.33*E43,IF(AND(D43=-35,E43=300)=TRUE,0.33*E43,IF(AND(D43=-100,E43=160)=TRUE,0.33*E43,IF(AND(D43=-100,E43=900)=TRUE,0.33*E43,"x")))))))</f>
        <v/>
      </c>
      <c r="I43" s="90">
        <f>IF(AND(D43&lt;0,E43=0)=TRUE,0.25*D43,IF(AND(D43=0,E43&gt;0)=TRUE,0.75*E43,IF(D43=-E43,0.5*E43,IF(AND(D43=-20,E43=100)=TRUE,0.66*E43,IF(AND(D43=-35,E43=300)=TRUE,0.66*E43,IF(AND(D43=-100,E43=160)=TRUE,0.66*E43,IF(AND(D43=-100,E43=900)=TRUE,0.66*E43,"x")))))))</f>
        <v/>
      </c>
      <c r="J43" s="91">
        <f>IF(AND(D43&lt;0,E43=0)=TRUE,0*D43,IF(AND(D43=0,E43&gt;0)=TRUE,0.98*E43,IF(D43=-E43,0.98*E43,IF(AND(D43=-20,E43=100)=TRUE,0.98*E43,IF(AND(D43=-35,E43=300)=TRUE,0.98*E43,IF(AND(D43=-100,E43=160)=TRUE,0.98*E43,IF(AND(D43=-100,E43=900)=TRUE,0.98*E43,"x")))))))</f>
        <v/>
      </c>
      <c r="K43" s="501" t="inlineStr">
        <is>
          <t>Fail</t>
        </is>
      </c>
      <c r="L43" s="502" t="inlineStr">
        <is>
          <t>-</t>
        </is>
      </c>
      <c r="M43" s="92">
        <f>F43</f>
        <v/>
      </c>
      <c r="N43" s="93">
        <f>G43</f>
        <v/>
      </c>
      <c r="O43" s="94">
        <f>H43</f>
        <v/>
      </c>
      <c r="P43" s="93">
        <f>I43</f>
        <v/>
      </c>
      <c r="Q43" s="95">
        <f>J43</f>
        <v/>
      </c>
      <c r="R43" s="503" t="inlineStr">
        <is>
          <t>kPa</t>
        </is>
      </c>
      <c r="S43" s="504">
        <f>IF(D43&lt;E43,(E43-D43)*0.002,"x")</f>
        <v/>
      </c>
      <c r="T43" s="503" t="n">
        <v>5702969</v>
      </c>
      <c r="U43" s="42" t="n"/>
    </row>
    <row r="44" ht="15" customFormat="1" customHeight="1" s="2" thickBot="1">
      <c r="A44" s="45" t="n"/>
      <c r="B44" s="505" t="n"/>
      <c r="C44" s="505" t="n"/>
      <c r="D44" s="505" t="n"/>
      <c r="E44" s="506" t="n"/>
      <c r="F44" s="480" t="n">
        <v>2.41</v>
      </c>
      <c r="G44" s="481" t="n">
        <v>250.25</v>
      </c>
      <c r="H44" s="481" t="n">
        <v>500.18</v>
      </c>
      <c r="I44" s="481" t="n">
        <v>750.4400000000001</v>
      </c>
      <c r="J44" s="482" t="n">
        <v>980.3</v>
      </c>
      <c r="K44" s="505" t="n"/>
      <c r="L44" s="505" t="n"/>
      <c r="M44" s="480" t="n">
        <v>0</v>
      </c>
      <c r="N44" s="480" t="n">
        <v>250.12</v>
      </c>
      <c r="O44" s="480" t="n">
        <v>500.06</v>
      </c>
      <c r="P44" s="480" t="n">
        <v>750.12</v>
      </c>
      <c r="Q44" s="480" t="n">
        <v>980</v>
      </c>
      <c r="R44" s="505" t="n"/>
      <c r="S44" s="507" t="n"/>
      <c r="T44" s="505" t="n"/>
      <c r="U44" s="42" t="n"/>
    </row>
    <row r="45" ht="15" customFormat="1" customHeight="1" s="2" thickBot="1">
      <c r="A45" s="45" t="n"/>
      <c r="B45" s="337" t="n">
        <v>59</v>
      </c>
      <c r="C45" s="337" t="inlineStr">
        <is>
          <t>PTX59</t>
        </is>
      </c>
      <c r="D45" s="337" t="n">
        <v>0</v>
      </c>
      <c r="E45" s="500" t="n">
        <v>0</v>
      </c>
      <c r="F45" s="163">
        <f>IF(AND(D45&lt;0,E45=0)=TRUE,0.98*D45,IF(AND(D45=0,E45&gt;0)=TRUE,0,IF(D45=-E45,0.98*D45,IF(AND(D45=-20,E45=100)=TRUE,0.98*D45,IF(AND(D45=-35,E45=300)=TRUE,0.98*D45,IF(AND(D45=-100,E45=160)=TRUE,80,IF(AND(D45=-100,E45=900)=TRUE,80,"x")))))))</f>
        <v/>
      </c>
      <c r="G45" s="90">
        <f>IF(AND(D45&lt;0,E45=0)=TRUE,0.75*D45,IF(AND(D45=0,E45&gt;0)=TRUE,0.25*E45,IF(D45=-E45,0.5*D45,IF(AND(D45=-20,E45=100)=TRUE,0,IF(AND(D45=-35,E45=300)=TRUE,0,IF(AND(D45=-100,E45=160)=TRUE,0,IF(AND(D45=-100,E45=900)=TRUE,0,"x")))))))</f>
        <v/>
      </c>
      <c r="H45" s="90">
        <f>IF(AND(D45&lt;0,E45=0)=TRUE,0.5*D45,IF(AND(D45=0,E45&gt;0)=TRUE,0.5*E45,IF(D45=-E45,0,IF(AND(D45=-20,E45=100)=TRUE,0.33*E45,IF(AND(D45=-35,E45=300)=TRUE,0.33*E45,IF(AND(D45=-100,E45=160)=TRUE,0.33*E45,IF(AND(D45=-100,E45=900)=TRUE,0.33*E45,"x")))))))</f>
        <v/>
      </c>
      <c r="I45" s="90">
        <f>IF(AND(D45&lt;0,E45=0)=TRUE,0.25*D45,IF(AND(D45=0,E45&gt;0)=TRUE,0.75*E45,IF(D45=-E45,0.5*E45,IF(AND(D45=-20,E45=100)=TRUE,0.66*E45,IF(AND(D45=-35,E45=300)=TRUE,0.66*E45,IF(AND(D45=-100,E45=160)=TRUE,0.66*E45,IF(AND(D45=-100,E45=900)=TRUE,0.66*E45,"x")))))))</f>
        <v/>
      </c>
      <c r="J45" s="91">
        <f>IF(AND(D45&lt;0,E45=0)=TRUE,0*D45,IF(AND(D45=0,E45&gt;0)=TRUE,0.98*E45,IF(D45=-E45,0.98*E45,IF(AND(D45=-20,E45=100)=TRUE,0.98*E45,IF(AND(D45=-35,E45=300)=TRUE,0.98*E45,IF(AND(D45=-100,E45=160)=TRUE,0.98*E45,IF(AND(D45=-100,E45=900)=TRUE,0.98*E45,"x")))))))</f>
        <v/>
      </c>
      <c r="K45" s="501" t="inlineStr">
        <is>
          <t>Pass</t>
        </is>
      </c>
      <c r="L45" s="502" t="inlineStr">
        <is>
          <t>-</t>
        </is>
      </c>
      <c r="M45" s="92">
        <f>F45</f>
        <v/>
      </c>
      <c r="N45" s="93">
        <f>G45</f>
        <v/>
      </c>
      <c r="O45" s="94">
        <f>H45</f>
        <v/>
      </c>
      <c r="P45" s="93">
        <f>I45</f>
        <v/>
      </c>
      <c r="Q45" s="95">
        <f>J45</f>
        <v/>
      </c>
      <c r="R45" s="503" t="inlineStr">
        <is>
          <t>kPa</t>
        </is>
      </c>
      <c r="S45" s="504">
        <f>IF(D45&lt;E45,(E45-D45)*0.002,"x")</f>
        <v/>
      </c>
      <c r="T45" s="503" t="n"/>
      <c r="U45" s="42" t="n"/>
    </row>
    <row r="46" ht="15" customFormat="1" customHeight="1" s="2" thickBot="1">
      <c r="A46" s="45" t="n"/>
      <c r="B46" s="505" t="n"/>
      <c r="C46" s="505" t="n"/>
      <c r="D46" s="505" t="n"/>
      <c r="E46" s="506" t="n"/>
      <c r="F46" s="480" t="n"/>
      <c r="G46" s="481" t="n"/>
      <c r="H46" s="481" t="n"/>
      <c r="I46" s="481" t="n"/>
      <c r="J46" s="482" t="n"/>
      <c r="K46" s="505" t="n"/>
      <c r="L46" s="505" t="n"/>
      <c r="M46" s="480" t="n"/>
      <c r="N46" s="481" t="n"/>
      <c r="O46" s="481" t="n"/>
      <c r="P46" s="481" t="n"/>
      <c r="Q46" s="482" t="n"/>
      <c r="R46" s="505" t="n"/>
      <c r="S46" s="507" t="n"/>
      <c r="T46" s="505" t="n"/>
      <c r="U46" s="42" t="n"/>
    </row>
    <row r="47" ht="15" customFormat="1" customHeight="1" s="2" thickBot="1">
      <c r="A47" s="45" t="n"/>
      <c r="B47" s="337" t="n">
        <v>60</v>
      </c>
      <c r="C47" s="337" t="inlineStr">
        <is>
          <t>PTX60</t>
        </is>
      </c>
      <c r="D47" s="337" t="n">
        <v>0</v>
      </c>
      <c r="E47" s="500" t="n">
        <v>300</v>
      </c>
      <c r="F47" s="163">
        <f>IF(AND(D47&lt;0,E47=0)=TRUE,0.98*D47,IF(AND(D47=0,E47&gt;0)=TRUE,0,IF(D47=-E47,0.98*D47,IF(AND(D47=-20,E47=100)=TRUE,0.98*D47,IF(AND(D47=-35,E47=300)=TRUE,0.98*D47,IF(AND(D47=-100,E47=160)=TRUE,80,IF(AND(D47=-100,E47=900)=TRUE,80,"x")))))))</f>
        <v/>
      </c>
      <c r="G47" s="90">
        <f>IF(AND(D47&lt;0,E47=0)=TRUE,0.75*D47,IF(AND(D47=0,E47&gt;0)=TRUE,0.25*E47,IF(D47=-E47,0.5*D47,IF(AND(D47=-20,E47=100)=TRUE,0,IF(AND(D47=-35,E47=300)=TRUE,0,IF(AND(D47=-100,E47=160)=TRUE,0,IF(AND(D47=-100,E47=900)=TRUE,0,"x")))))))</f>
        <v/>
      </c>
      <c r="H47" s="90">
        <f>IF(AND(D47&lt;0,E47=0)=TRUE,0.5*D47,IF(AND(D47=0,E47&gt;0)=TRUE,0.5*E47,IF(D47=-E47,0,IF(AND(D47=-20,E47=100)=TRUE,0.33*E47,IF(AND(D47=-35,E47=300)=TRUE,0.33*E47,IF(AND(D47=-100,E47=160)=TRUE,0.33*E47,IF(AND(D47=-100,E47=900)=TRUE,0.33*E47,"x")))))))</f>
        <v/>
      </c>
      <c r="I47" s="90">
        <f>IF(AND(D47&lt;0,E47=0)=TRUE,0.25*D47,IF(AND(D47=0,E47&gt;0)=TRUE,0.75*E47,IF(D47=-E47,0.5*E47,IF(AND(D47=-20,E47=100)=TRUE,0.66*E47,IF(AND(D47=-35,E47=300)=TRUE,0.66*E47,IF(AND(D47=-100,E47=160)=TRUE,0.66*E47,IF(AND(D47=-100,E47=900)=TRUE,0.66*E47,"x")))))))</f>
        <v/>
      </c>
      <c r="J47" s="91">
        <f>IF(AND(D47&lt;0,E47=0)=TRUE,0*D47,IF(AND(D47=0,E47&gt;0)=TRUE,0.98*E47,IF(D47=-E47,0.98*E47,IF(AND(D47=-20,E47=100)=TRUE,0.98*E47,IF(AND(D47=-35,E47=300)=TRUE,0.98*E47,IF(AND(D47=-100,E47=160)=TRUE,0.98*E47,IF(AND(D47=-100,E47=900)=TRUE,0.98*E47,"x")))))))</f>
        <v/>
      </c>
      <c r="K47" s="501" t="inlineStr">
        <is>
          <t>Fail</t>
        </is>
      </c>
      <c r="L47" s="502" t="inlineStr">
        <is>
          <t>-</t>
        </is>
      </c>
      <c r="M47" s="92">
        <f>F47</f>
        <v/>
      </c>
      <c r="N47" s="93">
        <f>G47</f>
        <v/>
      </c>
      <c r="O47" s="94">
        <f>H47</f>
        <v/>
      </c>
      <c r="P47" s="93">
        <f>I47</f>
        <v/>
      </c>
      <c r="Q47" s="95">
        <f>J47</f>
        <v/>
      </c>
      <c r="R47" s="503" t="inlineStr">
        <is>
          <t>kPa</t>
        </is>
      </c>
      <c r="S47" s="504">
        <f>IF(D47&lt;E47,(E47-D47)*0.002,"x")</f>
        <v/>
      </c>
      <c r="T47" s="503" t="n">
        <v>3355043</v>
      </c>
      <c r="U47" s="42" t="n"/>
    </row>
    <row r="48" ht="15" customFormat="1" customHeight="1" s="2" thickBot="1">
      <c r="A48" s="45" t="n"/>
      <c r="B48" s="505" t="n"/>
      <c r="C48" s="505" t="n"/>
      <c r="D48" s="505" t="n"/>
      <c r="E48" s="506" t="n"/>
      <c r="F48" s="480" t="n">
        <v>0.2</v>
      </c>
      <c r="G48" s="481" t="n">
        <v>74.8</v>
      </c>
      <c r="H48" s="481" t="n">
        <v>149.55</v>
      </c>
      <c r="I48" s="481" t="n">
        <v>225.03</v>
      </c>
      <c r="J48" s="482" t="n">
        <v>295.5</v>
      </c>
      <c r="K48" s="505" t="n"/>
      <c r="L48" s="505" t="n"/>
      <c r="M48" s="480" t="n">
        <v>-0.03</v>
      </c>
      <c r="N48" s="481" t="n">
        <v>75.06999999999999</v>
      </c>
      <c r="O48" s="481" t="n">
        <v>150.01</v>
      </c>
      <c r="P48" s="481" t="n">
        <v>225</v>
      </c>
      <c r="Q48" s="482" t="n">
        <v>294</v>
      </c>
      <c r="R48" s="505" t="n"/>
      <c r="S48" s="507" t="n"/>
      <c r="T48" s="505" t="n"/>
      <c r="U48" s="42" t="n"/>
    </row>
    <row r="49" ht="15" customFormat="1" customHeight="1" s="2" thickBot="1">
      <c r="A49" s="45" t="n"/>
      <c r="B49" s="11" t="n"/>
      <c r="C49" s="11" t="n"/>
      <c r="D49" s="11" t="n"/>
      <c r="E49" s="11" t="inlineStr">
        <is>
          <t xml:space="preserve">         Pre-Cals. Checked By.</t>
        </is>
      </c>
      <c r="F49" s="496" t="inlineStr">
        <is>
          <t>CD</t>
        </is>
      </c>
      <c r="G49" s="472" t="n"/>
      <c r="H49" s="15" t="n"/>
      <c r="I49" s="15" t="n"/>
      <c r="J49" s="15" t="n"/>
      <c r="K49" s="15" t="n"/>
      <c r="L49" s="15" t="n"/>
      <c r="M49" s="15" t="n"/>
      <c r="N49" s="15" t="n"/>
      <c r="O49" s="15" t="n"/>
      <c r="P49" s="15" t="n"/>
      <c r="Q49" s="15" t="n"/>
      <c r="R49" s="15" t="n"/>
      <c r="S49" s="15" t="n"/>
      <c r="T49" s="15" t="n"/>
      <c r="U49" s="42" t="n"/>
    </row>
    <row r="50" ht="15" customFormat="1" customHeight="1" s="2">
      <c r="A50" s="45" t="n"/>
      <c r="B50" s="24" t="n"/>
      <c r="C50" s="15" t="n"/>
      <c r="D50" s="15" t="n"/>
      <c r="E50" s="15" t="n"/>
      <c r="F50" s="15" t="n"/>
      <c r="G50" s="11" t="n"/>
      <c r="H50" s="11" t="n"/>
      <c r="I50" s="11" t="n"/>
      <c r="J50" s="11" t="n"/>
      <c r="K50" s="11" t="n"/>
      <c r="L50" s="14" t="n"/>
      <c r="M50" s="15" t="n"/>
      <c r="N50" s="508" t="n"/>
      <c r="O50" s="508" t="n"/>
      <c r="P50" s="15" t="n"/>
      <c r="Q50" s="15" t="n"/>
      <c r="R50" s="15" t="n"/>
      <c r="S50" s="15" t="n"/>
      <c r="T50" s="15" t="n"/>
      <c r="U50" s="42" t="n"/>
    </row>
    <row r="51" ht="15" customFormat="1" customHeight="1" s="2" thickBot="1">
      <c r="A51" s="45" t="n"/>
      <c r="B51" s="24" t="n"/>
      <c r="C51" s="11" t="n"/>
      <c r="D51" s="11" t="n"/>
      <c r="E51" s="11" t="inlineStr">
        <is>
          <t xml:space="preserve">Pressure Calibrator Used. </t>
        </is>
      </c>
      <c r="F51" s="346" t="inlineStr">
        <is>
          <t>DEVT No.</t>
        </is>
      </c>
      <c r="G51" s="509" t="n"/>
      <c r="H51" s="346" t="inlineStr">
        <is>
          <t>Make / Model</t>
        </is>
      </c>
      <c r="I51" s="509" t="n"/>
      <c r="J51" s="509" t="n"/>
      <c r="K51" s="346" t="inlineStr">
        <is>
          <t>Serial Number</t>
        </is>
      </c>
      <c r="L51" s="509" t="n"/>
      <c r="M51" s="509" t="n"/>
      <c r="N51" s="346" t="inlineStr">
        <is>
          <t>Calibration Next Due</t>
        </is>
      </c>
      <c r="O51" s="509" t="n"/>
      <c r="P51" s="509" t="n"/>
      <c r="Q51" s="15" t="n"/>
      <c r="R51" s="15" t="n"/>
      <c r="S51" s="15" t="n"/>
      <c r="T51" s="15" t="n"/>
      <c r="U51" s="42" t="n"/>
    </row>
    <row r="52" ht="15" customFormat="1" customHeight="1" s="2">
      <c r="A52" s="45" t="n"/>
      <c r="B52" s="24" t="n"/>
      <c r="C52" s="15" t="n"/>
      <c r="D52" s="15" t="n"/>
      <c r="E52" s="96" t="inlineStr">
        <is>
          <t xml:space="preserve">Range A --&gt; -35 to 35 kPa </t>
        </is>
      </c>
      <c r="F52" s="510" t="n">
        <v>105</v>
      </c>
      <c r="G52" s="511" t="n"/>
      <c r="H52" s="512" t="inlineStr">
        <is>
          <t>Druck DPI 620</t>
        </is>
      </c>
      <c r="I52" s="513" t="n"/>
      <c r="J52" s="511" t="n"/>
      <c r="K52" s="514" t="n"/>
      <c r="L52" s="513" t="n"/>
      <c r="M52" s="511" t="n"/>
      <c r="N52" s="515" t="n">
        <v>44866</v>
      </c>
      <c r="O52" s="513" t="n"/>
      <c r="P52" s="486" t="n"/>
      <c r="Q52" s="508" t="n"/>
      <c r="R52" s="508" t="inlineStr">
        <is>
          <t>Where</t>
        </is>
      </c>
      <c r="S52" s="97" t="inlineStr">
        <is>
          <t>set point</t>
        </is>
      </c>
      <c r="T52" s="15" t="inlineStr">
        <is>
          <t>are the</t>
        </is>
      </c>
      <c r="U52" s="42" t="n"/>
    </row>
    <row r="53" ht="15" customFormat="1" customHeight="1" s="2">
      <c r="A53" s="45" t="n"/>
      <c r="B53" s="24" t="n"/>
      <c r="C53" s="15" t="n"/>
      <c r="D53" s="15" t="n"/>
      <c r="E53" s="96" t="inlineStr">
        <is>
          <t xml:space="preserve">Range B --&gt; -100 to 600 kPa </t>
        </is>
      </c>
      <c r="F53" s="516" t="n"/>
      <c r="G53" s="517" t="n"/>
      <c r="H53" s="518" t="n"/>
      <c r="I53" s="519" t="n"/>
      <c r="J53" s="517" t="n"/>
      <c r="K53" s="520" t="n"/>
      <c r="L53" s="519" t="n"/>
      <c r="M53" s="517" t="n"/>
      <c r="N53" s="521" t="n"/>
      <c r="O53" s="519" t="n"/>
      <c r="P53" s="522" t="n"/>
      <c r="Q53" s="15" t="n"/>
      <c r="R53" s="15" t="n"/>
      <c r="S53" s="24" t="inlineStr">
        <is>
          <t>calibration points.</t>
        </is>
      </c>
      <c r="T53" s="14" t="n"/>
      <c r="U53" s="42" t="n"/>
    </row>
    <row r="54" ht="15" customFormat="1" customHeight="1" s="2" thickBot="1">
      <c r="A54" s="45" t="n"/>
      <c r="B54" s="24" t="n"/>
      <c r="C54" s="15" t="n"/>
      <c r="D54" s="15" t="n"/>
      <c r="E54" s="96" t="inlineStr">
        <is>
          <t xml:space="preserve">Range C --&gt; 600 to 1000 kPa </t>
        </is>
      </c>
      <c r="F54" s="523" t="n">
        <v>105</v>
      </c>
      <c r="G54" s="524" t="n"/>
      <c r="H54" s="525" t="inlineStr">
        <is>
          <t>Druck DPI 620</t>
        </is>
      </c>
      <c r="I54" s="526" t="n"/>
      <c r="J54" s="524" t="n"/>
      <c r="K54" s="527" t="n"/>
      <c r="L54" s="526" t="n"/>
      <c r="M54" s="524" t="n"/>
      <c r="N54" s="528" t="n">
        <v>44866</v>
      </c>
      <c r="O54" s="526" t="n"/>
      <c r="P54" s="529" t="n"/>
      <c r="Q54" s="11" t="n"/>
      <c r="R54" s="11" t="n"/>
      <c r="S54" s="15" t="n"/>
      <c r="T54" s="15" t="n"/>
      <c r="U54" s="42" t="n"/>
    </row>
    <row r="55" ht="15" customFormat="1" customHeight="1" s="2" thickBot="1">
      <c r="A55" s="98" t="n"/>
      <c r="B55" s="99" t="n"/>
      <c r="C55" s="99" t="n"/>
      <c r="D55" s="99" t="n"/>
      <c r="E55" s="99" t="n"/>
      <c r="F55" s="99" t="n"/>
      <c r="G55" s="99" t="n"/>
      <c r="H55" s="99" t="n"/>
      <c r="I55" s="99" t="n"/>
      <c r="J55" s="99" t="n"/>
      <c r="K55" s="99" t="n"/>
      <c r="L55" s="99" t="n"/>
      <c r="M55" s="99" t="n"/>
      <c r="N55" s="99" t="n"/>
      <c r="O55" s="99" t="n"/>
      <c r="P55" s="100" t="n"/>
      <c r="Q55" s="99" t="n"/>
      <c r="R55" s="99" t="n"/>
      <c r="S55" s="99" t="n"/>
      <c r="T55" s="99" t="n"/>
      <c r="U55" s="46" t="n"/>
    </row>
    <row r="56" ht="15" customFormat="1" customHeight="1" s="2" thickTop="1">
      <c r="A56" s="38" t="n"/>
      <c r="B56" s="39" t="n"/>
      <c r="C56" s="39" t="n"/>
      <c r="D56" s="39" t="n"/>
      <c r="E56" s="39" t="n"/>
      <c r="F56" s="39" t="n"/>
      <c r="G56" s="39" t="n"/>
      <c r="H56" s="39" t="n"/>
      <c r="I56" s="39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83" t="n"/>
    </row>
    <row r="57" ht="15" customFormat="1" customHeight="1" s="2">
      <c r="A57" s="494" t="inlineStr">
        <is>
          <t>Test Bed Pressure Measurement Calibration</t>
        </is>
      </c>
      <c r="B57" s="461" t="n"/>
      <c r="C57" s="461" t="n"/>
      <c r="D57" s="461" t="n"/>
      <c r="E57" s="461" t="n"/>
      <c r="F57" s="461" t="n"/>
      <c r="G57" s="461" t="n"/>
      <c r="H57" s="461" t="n"/>
      <c r="I57" s="461" t="n"/>
      <c r="J57" s="461" t="n"/>
      <c r="K57" s="461" t="n"/>
      <c r="L57" s="461" t="n"/>
      <c r="M57" s="461" t="n"/>
      <c r="N57" s="461" t="n"/>
      <c r="O57" s="461" t="n"/>
      <c r="P57" s="461" t="n"/>
      <c r="Q57" s="461" t="n"/>
      <c r="R57" s="461" t="n"/>
      <c r="S57" s="461" t="n"/>
      <c r="T57" s="461" t="n"/>
      <c r="U57" s="495" t="n"/>
    </row>
    <row r="58" ht="15" customFormat="1" customHeight="1" s="2" thickBot="1">
      <c r="A58" s="40" t="n"/>
      <c r="B58" s="12" t="n"/>
      <c r="C58" s="13" t="n"/>
      <c r="D58" s="13" t="n"/>
      <c r="E58" s="13" t="n"/>
      <c r="F58" s="13" t="n"/>
      <c r="G58" s="13" t="n"/>
      <c r="H58" s="12" t="n"/>
      <c r="I58" s="84" t="n"/>
      <c r="J58" s="12" t="n"/>
      <c r="K58" s="12" t="n"/>
      <c r="L58" s="12" t="n"/>
      <c r="M58" s="12" t="n"/>
      <c r="N58" s="12" t="n"/>
      <c r="O58" s="12" t="n"/>
      <c r="P58" s="12" t="n"/>
      <c r="Q58" s="12" t="n"/>
      <c r="R58" s="12" t="n"/>
      <c r="S58" s="12" t="n"/>
      <c r="T58" s="12" t="n"/>
      <c r="U58" s="41" t="n"/>
    </row>
    <row r="59" ht="15" customFormat="1" customHeight="1" s="2" thickBot="1">
      <c r="A59" s="40" t="n"/>
      <c r="B59" s="11" t="inlineStr">
        <is>
          <t xml:space="preserve">Job No. </t>
        </is>
      </c>
      <c r="C59" s="191">
        <f>Title!C4</f>
        <v/>
      </c>
      <c r="D59" s="25" t="n"/>
      <c r="E59" s="183" t="n"/>
      <c r="F59" s="12" t="n"/>
      <c r="G59" s="11" t="inlineStr">
        <is>
          <t xml:space="preserve">Calibrated By. </t>
        </is>
      </c>
      <c r="H59" s="496">
        <f>Title!C3</f>
        <v/>
      </c>
      <c r="I59" s="472" t="n"/>
      <c r="J59" s="12" t="n"/>
      <c r="K59" s="12" t="n"/>
      <c r="L59" s="11" t="inlineStr">
        <is>
          <t xml:space="preserve">Calibration Date. </t>
        </is>
      </c>
      <c r="M59" s="497">
        <f>Title!C9</f>
        <v/>
      </c>
      <c r="N59" s="471" t="n"/>
      <c r="O59" s="472" t="n"/>
      <c r="P59" s="14" t="n"/>
      <c r="Q59" s="11" t="n"/>
      <c r="R59" s="11" t="inlineStr">
        <is>
          <t xml:space="preserve">Bed No. </t>
        </is>
      </c>
      <c r="S59" s="498">
        <f>Title!F3</f>
        <v/>
      </c>
      <c r="T59" s="472" t="n"/>
      <c r="U59" s="85" t="n"/>
    </row>
    <row r="60" ht="15" customFormat="1" customHeight="1" s="2">
      <c r="A60" s="40" t="n"/>
      <c r="B60" s="12" t="n"/>
      <c r="C60" s="13" t="n"/>
      <c r="D60" s="13" t="n"/>
      <c r="E60" s="13" t="n"/>
      <c r="F60" s="11" t="n"/>
      <c r="G60" s="13" t="n"/>
      <c r="H60" s="11" t="n"/>
      <c r="I60" s="11" t="n"/>
      <c r="J60" s="14" t="n"/>
      <c r="K60" s="14" t="n"/>
      <c r="L60" s="14" t="n"/>
      <c r="M60" s="14" t="n"/>
      <c r="N60" s="12" t="n"/>
      <c r="O60" s="14" t="n"/>
      <c r="P60" s="14" t="n"/>
      <c r="Q60" s="14" t="n"/>
      <c r="R60" s="14" t="n"/>
      <c r="S60" s="14" t="n"/>
      <c r="T60" s="14" t="n"/>
      <c r="U60" s="42" t="n"/>
    </row>
    <row r="61" ht="15" customFormat="1" customHeight="1" s="2">
      <c r="A61" s="43" t="inlineStr">
        <is>
          <t>Acceptable Deviation: 0.2% Full Scale.  Adjust if error &gt;80% accepted tolerance.</t>
        </is>
      </c>
      <c r="B61" s="13" t="n"/>
      <c r="C61" s="13" t="n"/>
      <c r="D61" s="13" t="n"/>
      <c r="E61" s="13" t="n"/>
      <c r="F61" s="13" t="n"/>
      <c r="G61" s="86" t="n"/>
      <c r="H61" s="86" t="n"/>
      <c r="I61" s="86" t="n"/>
      <c r="J61" s="13" t="n"/>
      <c r="K61" s="13" t="n"/>
      <c r="L61" s="13" t="n"/>
      <c r="M61" s="13" t="n"/>
      <c r="N61" s="13" t="n"/>
      <c r="O61" s="13" t="n"/>
      <c r="P61" s="13" t="n"/>
      <c r="Q61" s="13" t="n"/>
      <c r="R61" s="13" t="n"/>
      <c r="S61" s="13" t="n"/>
      <c r="T61" s="13" t="n"/>
      <c r="U61" s="44" t="n"/>
    </row>
    <row r="62" ht="15" customFormat="1" customHeight="1" s="2" thickBot="1">
      <c r="A62" s="40" t="n"/>
      <c r="B62" s="84" t="n"/>
      <c r="C62" s="84" t="n"/>
      <c r="D62" s="84" t="n"/>
      <c r="E62" s="84" t="n"/>
      <c r="F62" s="84" t="n"/>
      <c r="G62" s="84" t="n"/>
      <c r="H62" s="84" t="n"/>
      <c r="I62" s="84" t="n"/>
      <c r="J62" s="84" t="n"/>
      <c r="K62" s="84" t="n"/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42" t="n"/>
    </row>
    <row r="63" ht="15" customFormat="1" customHeight="1" s="2" thickBot="1">
      <c r="A63" s="40" t="n"/>
      <c r="B63" s="26" t="inlineStr">
        <is>
          <t>Channel No.</t>
        </is>
      </c>
      <c r="C63" s="26" t="inlineStr">
        <is>
          <t>Channel Name</t>
        </is>
      </c>
      <c r="D63" s="87" t="inlineStr">
        <is>
          <t>Range Min</t>
        </is>
      </c>
      <c r="E63" s="87" t="inlineStr">
        <is>
          <t>Range Max</t>
        </is>
      </c>
      <c r="F63" s="499" t="inlineStr">
        <is>
          <t>Pre-Calibration Set Points</t>
        </is>
      </c>
      <c r="G63" s="476" t="n"/>
      <c r="H63" s="476" t="n"/>
      <c r="I63" s="476" t="n"/>
      <c r="J63" s="477" t="n"/>
      <c r="K63" s="26" t="inlineStr">
        <is>
          <t>Result</t>
        </is>
      </c>
      <c r="L63" s="88" t="inlineStr">
        <is>
          <t>PC Used</t>
        </is>
      </c>
      <c r="M63" s="499" t="inlineStr">
        <is>
          <t>Post-Calibration Set Points</t>
        </is>
      </c>
      <c r="N63" s="476" t="n"/>
      <c r="O63" s="476" t="n"/>
      <c r="P63" s="476" t="n"/>
      <c r="Q63" s="477" t="n"/>
      <c r="R63" s="26" t="inlineStr">
        <is>
          <t>Units</t>
        </is>
      </c>
      <c r="S63" s="89" t="inlineStr">
        <is>
          <t>Tolerance</t>
        </is>
      </c>
      <c r="T63" s="26" t="inlineStr">
        <is>
          <t>Transducer Serial No.</t>
        </is>
      </c>
      <c r="U63" s="42" t="n"/>
    </row>
    <row r="64" ht="15" customFormat="1" customHeight="1" s="2" thickBot="1">
      <c r="A64" s="40" t="n"/>
      <c r="B64" s="337" t="n">
        <v>61</v>
      </c>
      <c r="C64" s="337" t="inlineStr">
        <is>
          <t>PTX61</t>
        </is>
      </c>
      <c r="D64" s="337" t="n">
        <v>0</v>
      </c>
      <c r="E64" s="500" t="n">
        <v>300</v>
      </c>
      <c r="F64" s="163">
        <f>IF(AND(D64&lt;0,E64=0)=TRUE,0.98*D64,IF(AND(D64=0,E64&gt;0)=TRUE,0,IF(D64=-E64,0.98*D64,IF(AND(D64=-20,E64=100)=TRUE,0.98*D64,IF(AND(D64=-35,E64=300)=TRUE,0.98*D64,IF(AND(D64=-100,E64=160)=TRUE,80,IF(AND(D64=-100,E64=900)=TRUE,80,"x")))))))</f>
        <v/>
      </c>
      <c r="G64" s="90">
        <f>IF(AND(D64&lt;0,E64=0)=TRUE,0.75*D64,IF(AND(D64=0,E64&gt;0)=TRUE,0.25*E64,IF(D64=-E64,0.5*D64,IF(AND(D64=-20,E64=100)=TRUE,0,IF(AND(D64=-35,E64=300)=TRUE,0,IF(AND(D64=-100,E64=160)=TRUE,0,IF(AND(D64=-100,E64=900)=TRUE,0,"x")))))))</f>
        <v/>
      </c>
      <c r="H64" s="90">
        <f>IF(AND(D64&lt;0,E64=0)=TRUE,0.5*D64,IF(AND(D64=0,E64&gt;0)=TRUE,0.5*E64,IF(D64=-E64,0,IF(AND(D64=-20,E64=100)=TRUE,0.33*E64,IF(AND(D64=-35,E64=300)=TRUE,0.33*E64,IF(AND(D64=-100,E64=160)=TRUE,0.33*E64,IF(AND(D64=-100,E64=900)=TRUE,0.33*E64,"x")))))))</f>
        <v/>
      </c>
      <c r="I64" s="90">
        <f>IF(AND(D64&lt;0,E64=0)=TRUE,0.25*D64,IF(AND(D64=0,E64&gt;0)=TRUE,0.75*E64,IF(D64=-E64,0.5*E64,IF(AND(D64=-20,E64=100)=TRUE,0.66*E64,IF(AND(D64=-35,E64=300)=TRUE,0.66*E64,IF(AND(D64=-100,E64=160)=TRUE,0.66*E64,IF(AND(D64=-100,E64=900)=TRUE,0.66*E64,"x")))))))</f>
        <v/>
      </c>
      <c r="J64" s="91">
        <f>IF(AND(D64&lt;0,E64=0)=TRUE,0*D64,IF(AND(D64=0,E64&gt;0)=TRUE,0.98*E64,IF(D64=-E64,0.98*E64,IF(AND(D64=-20,E64=100)=TRUE,0.98*E64,IF(AND(D64=-35,E64=300)=TRUE,0.98*E64,IF(AND(D64=-100,E64=160)=TRUE,0.98*E64,IF(AND(D64=-100,E64=900)=TRUE,0.98*E64,"x")))))))</f>
        <v/>
      </c>
      <c r="K64" s="501" t="inlineStr">
        <is>
          <t>Pass</t>
        </is>
      </c>
      <c r="L64" s="502" t="inlineStr">
        <is>
          <t>-</t>
        </is>
      </c>
      <c r="M64" s="92">
        <f>F64</f>
        <v/>
      </c>
      <c r="N64" s="93">
        <f>G64</f>
        <v/>
      </c>
      <c r="O64" s="94">
        <f>H64</f>
        <v/>
      </c>
      <c r="P64" s="93">
        <f>I64</f>
        <v/>
      </c>
      <c r="Q64" s="95">
        <f>J64</f>
        <v/>
      </c>
      <c r="R64" s="503" t="inlineStr">
        <is>
          <t>kPa</t>
        </is>
      </c>
      <c r="S64" s="504">
        <f>IF(D64&lt;E64,(E64-D64)*0.002,"x")</f>
        <v/>
      </c>
      <c r="T64" s="503" t="n">
        <v>335307</v>
      </c>
      <c r="U64" s="42" t="n"/>
    </row>
    <row r="65" ht="15" customFormat="1" customHeight="1" s="2" thickBot="1">
      <c r="A65" s="40" t="n"/>
      <c r="B65" s="505" t="n"/>
      <c r="C65" s="505" t="n"/>
      <c r="D65" s="505" t="n"/>
      <c r="E65" s="506" t="n"/>
      <c r="F65" s="480" t="n">
        <v>0.28</v>
      </c>
      <c r="G65" s="481" t="n">
        <v>74.81</v>
      </c>
      <c r="H65" s="481" t="n">
        <v>149.75</v>
      </c>
      <c r="I65" s="481" t="n">
        <v>224.74</v>
      </c>
      <c r="J65" s="482" t="n">
        <v>293.64</v>
      </c>
      <c r="K65" s="505" t="n"/>
      <c r="L65" s="505" t="n"/>
      <c r="M65" s="480" t="n">
        <v>-0.01</v>
      </c>
      <c r="N65" s="480" t="n">
        <v>75.45</v>
      </c>
      <c r="O65" s="480" t="n">
        <v>150.47</v>
      </c>
      <c r="P65" s="480" t="n">
        <v>225.16</v>
      </c>
      <c r="Q65" s="480" t="n">
        <v>294.01</v>
      </c>
      <c r="R65" s="505" t="n"/>
      <c r="S65" s="507" t="n"/>
      <c r="T65" s="505" t="n"/>
      <c r="U65" s="42" t="n"/>
    </row>
    <row r="66" ht="15" customFormat="1" customHeight="1" s="2" thickBot="1">
      <c r="A66" s="40" t="n"/>
      <c r="B66" s="337" t="n">
        <v>62</v>
      </c>
      <c r="C66" s="337" t="inlineStr">
        <is>
          <t>PTX62</t>
        </is>
      </c>
      <c r="D66" s="337" t="n">
        <v>0</v>
      </c>
      <c r="E66" s="500" t="n">
        <v>300</v>
      </c>
      <c r="F66" s="163">
        <f>IF(AND(D66&lt;0,E66=0)=TRUE,0.98*D66,IF(AND(D66=0,E66&gt;0)=TRUE,0,IF(D66=-E66,0.98*D66,IF(AND(D66=-20,E66=100)=TRUE,0.98*D66,IF(AND(D66=-35,E66=300)=TRUE,0.98*D66,IF(AND(D66=-100,E66=160)=TRUE,80,IF(AND(D66=-100,E66=900)=TRUE,80,"x")))))))</f>
        <v/>
      </c>
      <c r="G66" s="90">
        <f>IF(AND(D66&lt;0,E66=0)=TRUE,0.75*D66,IF(AND(D66=0,E66&gt;0)=TRUE,0.25*E66,IF(D66=-E66,0.5*D66,IF(AND(D66=-20,E66=100)=TRUE,0,IF(AND(D66=-35,E66=300)=TRUE,0,IF(AND(D66=-100,E66=160)=TRUE,0,IF(AND(D66=-100,E66=900)=TRUE,0,"x")))))))</f>
        <v/>
      </c>
      <c r="H66" s="90">
        <f>IF(AND(D66&lt;0,E66=0)=TRUE,0.5*D66,IF(AND(D66=0,E66&gt;0)=TRUE,0.5*E66,IF(D66=-E66,0,IF(AND(D66=-20,E66=100)=TRUE,0.33*E66,IF(AND(D66=-35,E66=300)=TRUE,0.33*E66,IF(AND(D66=-100,E66=160)=TRUE,0.33*E66,IF(AND(D66=-100,E66=900)=TRUE,0.33*E66,"x")))))))</f>
        <v/>
      </c>
      <c r="I66" s="90">
        <f>IF(AND(D66&lt;0,E66=0)=TRUE,0.25*D66,IF(AND(D66=0,E66&gt;0)=TRUE,0.75*E66,IF(D66=-E66,0.5*E66,IF(AND(D66=-20,E66=100)=TRUE,0.66*E66,IF(AND(D66=-35,E66=300)=TRUE,0.66*E66,IF(AND(D66=-100,E66=160)=TRUE,0.66*E66,IF(AND(D66=-100,E66=900)=TRUE,0.66*E66,"x")))))))</f>
        <v/>
      </c>
      <c r="J66" s="91">
        <f>IF(AND(D66&lt;0,E66=0)=TRUE,0*D66,IF(AND(D66=0,E66&gt;0)=TRUE,0.98*E66,IF(D66=-E66,0.98*E66,IF(AND(D66=-20,E66=100)=TRUE,0.98*E66,IF(AND(D66=-35,E66=300)=TRUE,0.98*E66,IF(AND(D66=-100,E66=160)=TRUE,0.98*E66,IF(AND(D66=-100,E66=900)=TRUE,0.98*E66,"x")))))))</f>
        <v/>
      </c>
      <c r="K66" s="501" t="inlineStr">
        <is>
          <t>Fail</t>
        </is>
      </c>
      <c r="L66" s="502" t="inlineStr">
        <is>
          <t>-</t>
        </is>
      </c>
      <c r="M66" s="92">
        <f>F66</f>
        <v/>
      </c>
      <c r="N66" s="93">
        <f>G66</f>
        <v/>
      </c>
      <c r="O66" s="94">
        <f>H66</f>
        <v/>
      </c>
      <c r="P66" s="93">
        <f>I66</f>
        <v/>
      </c>
      <c r="Q66" s="95">
        <f>J66</f>
        <v/>
      </c>
      <c r="R66" s="503" t="inlineStr">
        <is>
          <t>kPa</t>
        </is>
      </c>
      <c r="S66" s="504">
        <f>IF(D66&lt;E66,(E66-D66)*0.002,"x")</f>
        <v/>
      </c>
      <c r="T66" s="503" t="n">
        <v>3355010</v>
      </c>
      <c r="U66" s="42" t="n"/>
    </row>
    <row r="67" ht="15" customFormat="1" customHeight="1" s="2" thickBot="1">
      <c r="A67" s="40" t="n"/>
      <c r="B67" s="505" t="n"/>
      <c r="C67" s="505" t="n"/>
      <c r="D67" s="505" t="n"/>
      <c r="E67" s="506" t="n"/>
      <c r="F67" s="480" t="n">
        <v>0.05</v>
      </c>
      <c r="G67" s="480" t="n">
        <v>74.7</v>
      </c>
      <c r="H67" s="480" t="n">
        <v>149.66</v>
      </c>
      <c r="I67" s="480" t="n">
        <v>226.22</v>
      </c>
      <c r="J67" s="480" t="n">
        <v>299.74</v>
      </c>
      <c r="K67" s="505" t="n"/>
      <c r="L67" s="505" t="n"/>
      <c r="M67" s="480" t="n">
        <v>0</v>
      </c>
      <c r="N67" s="480" t="n">
        <v>74.90000000000001</v>
      </c>
      <c r="O67" s="480" t="n">
        <v>150.07</v>
      </c>
      <c r="P67" s="480" t="n">
        <v>225.01</v>
      </c>
      <c r="Q67" s="480" t="n">
        <v>294.03</v>
      </c>
      <c r="R67" s="505" t="n"/>
      <c r="S67" s="507" t="n"/>
      <c r="T67" s="505" t="n"/>
      <c r="U67" s="42" t="n"/>
    </row>
    <row r="68" ht="15" customFormat="1" customHeight="1" s="2" thickBot="1">
      <c r="A68" s="45" t="n"/>
      <c r="B68" s="337" t="n">
        <v>63</v>
      </c>
      <c r="C68" s="337" t="inlineStr">
        <is>
          <t>PTX63</t>
        </is>
      </c>
      <c r="D68" s="337" t="n">
        <v>0</v>
      </c>
      <c r="E68" s="500" t="n">
        <v>300</v>
      </c>
      <c r="F68" s="163">
        <f>IF(AND(D68&lt;0,E68=0)=TRUE,0.98*D68,IF(AND(D68=0,E68&gt;0)=TRUE,0,IF(D68=-E68,0.98*D68,IF(AND(D68=-20,E68=100)=TRUE,0.98*D68,IF(AND(D68=-35,E68=300)=TRUE,0.98*D68,IF(AND(D68=-100,E68=160)=TRUE,80,IF(AND(D68=-100,E68=900)=TRUE,80,"x")))))))</f>
        <v/>
      </c>
      <c r="G68" s="90">
        <f>IF(AND(D68&lt;0,E68=0)=TRUE,0.75*D68,IF(AND(D68=0,E68&gt;0)=TRUE,0.25*E68,IF(D68=-E68,0.5*D68,IF(AND(D68=-20,E68=100)=TRUE,0,IF(AND(D68=-35,E68=300)=TRUE,0,IF(AND(D68=-100,E68=160)=TRUE,0,IF(AND(D68=-100,E68=900)=TRUE,0,"x")))))))</f>
        <v/>
      </c>
      <c r="H68" s="90">
        <f>IF(AND(D68&lt;0,E68=0)=TRUE,0.5*D68,IF(AND(D68=0,E68&gt;0)=TRUE,0.5*E68,IF(D68=-E68,0,IF(AND(D68=-20,E68=100)=TRUE,0.33*E68,IF(AND(D68=-35,E68=300)=TRUE,0.33*E68,IF(AND(D68=-100,E68=160)=TRUE,0.33*E68,IF(AND(D68=-100,E68=900)=TRUE,0.33*E68,"x")))))))</f>
        <v/>
      </c>
      <c r="I68" s="90">
        <f>IF(AND(D68&lt;0,E68=0)=TRUE,0.25*D68,IF(AND(D68=0,E68&gt;0)=TRUE,0.75*E68,IF(D68=-E68,0.5*E68,IF(AND(D68=-20,E68=100)=TRUE,0.66*E68,IF(AND(D68=-35,E68=300)=TRUE,0.66*E68,IF(AND(D68=-100,E68=160)=TRUE,0.66*E68,IF(AND(D68=-100,E68=900)=TRUE,0.66*E68,"x")))))))</f>
        <v/>
      </c>
      <c r="J68" s="91">
        <f>IF(AND(D68&lt;0,E68=0)=TRUE,0*D68,IF(AND(D68=0,E68&gt;0)=TRUE,0.98*E68,IF(D68=-E68,0.98*E68,IF(AND(D68=-20,E68=100)=TRUE,0.98*E68,IF(AND(D68=-35,E68=300)=TRUE,0.98*E68,IF(AND(D68=-100,E68=160)=TRUE,0.98*E68,IF(AND(D68=-100,E68=900)=TRUE,0.98*E68,"x")))))))</f>
        <v/>
      </c>
      <c r="K68" s="501" t="inlineStr">
        <is>
          <t>Pass</t>
        </is>
      </c>
      <c r="L68" s="502" t="inlineStr">
        <is>
          <t>-</t>
        </is>
      </c>
      <c r="M68" s="92">
        <f>F68</f>
        <v/>
      </c>
      <c r="N68" s="93">
        <f>G68</f>
        <v/>
      </c>
      <c r="O68" s="94">
        <f>H68</f>
        <v/>
      </c>
      <c r="P68" s="93">
        <f>I68</f>
        <v/>
      </c>
      <c r="Q68" s="95">
        <f>J68</f>
        <v/>
      </c>
      <c r="R68" s="503" t="inlineStr">
        <is>
          <t>kPa</t>
        </is>
      </c>
      <c r="S68" s="504">
        <f>IF(D68&lt;E68,(E68-D68)*0.002,"x")</f>
        <v/>
      </c>
      <c r="T68" s="503" t="n">
        <v>3362232</v>
      </c>
      <c r="U68" s="42" t="n"/>
    </row>
    <row r="69" ht="15" customFormat="1" customHeight="1" s="2" thickBot="1">
      <c r="A69" s="45" t="n"/>
      <c r="B69" s="505" t="n"/>
      <c r="C69" s="505" t="n"/>
      <c r="D69" s="505" t="n"/>
      <c r="E69" s="506" t="n"/>
      <c r="F69" s="480" t="n">
        <v>0</v>
      </c>
      <c r="G69" s="480" t="n">
        <v>74.53</v>
      </c>
      <c r="H69" s="480" t="n">
        <v>150.29</v>
      </c>
      <c r="I69" s="480" t="n">
        <v>225.45</v>
      </c>
      <c r="J69" s="480" t="n">
        <v>293.86</v>
      </c>
      <c r="K69" s="505" t="n"/>
      <c r="L69" s="505" t="n"/>
      <c r="M69" s="480" t="n">
        <v>0</v>
      </c>
      <c r="N69" s="480" t="n">
        <v>75.3</v>
      </c>
      <c r="O69" s="480" t="n">
        <v>150.01</v>
      </c>
      <c r="P69" s="480" t="n">
        <v>225.22</v>
      </c>
      <c r="Q69" s="480" t="n">
        <v>294</v>
      </c>
      <c r="R69" s="505" t="n"/>
      <c r="S69" s="507" t="n"/>
      <c r="T69" s="505" t="n"/>
      <c r="U69" s="42" t="n"/>
    </row>
    <row r="70" ht="15" customFormat="1" customHeight="1" s="2" thickBot="1">
      <c r="A70" s="45" t="n"/>
      <c r="B70" s="337" t="n">
        <v>64</v>
      </c>
      <c r="C70" s="337" t="inlineStr">
        <is>
          <t>PTX64</t>
        </is>
      </c>
      <c r="D70" s="337" t="n">
        <v>0</v>
      </c>
      <c r="E70" s="500" t="n">
        <v>300</v>
      </c>
      <c r="F70" s="163">
        <f>IF(AND(D70&lt;0,E70=0)=TRUE,0.98*D70,IF(AND(D70=0,E70&gt;0)=TRUE,0,IF(D70=-E70,0.98*D70,IF(AND(D70=-20,E70=100)=TRUE,0.98*D70,IF(AND(D70=-35,E70=300)=TRUE,0.98*D70,IF(AND(D70=-100,E70=160)=TRUE,80,IF(AND(D70=-100,E70=900)=TRUE,80,"x")))))))</f>
        <v/>
      </c>
      <c r="G70" s="90">
        <f>IF(AND(D70&lt;0,E70=0)=TRUE,0.75*D70,IF(AND(D70=0,E70&gt;0)=TRUE,0.25*E70,IF(D70=-E70,0.5*D70,IF(AND(D70=-20,E70=100)=TRUE,0,IF(AND(D70=-35,E70=300)=TRUE,0,IF(AND(D70=-100,E70=160)=TRUE,0,IF(AND(D70=-100,E70=900)=TRUE,0,"x")))))))</f>
        <v/>
      </c>
      <c r="H70" s="90">
        <f>IF(AND(D70&lt;0,E70=0)=TRUE,0.5*D70,IF(AND(D70=0,E70&gt;0)=TRUE,0.5*E70,IF(D70=-E70,0,IF(AND(D70=-20,E70=100)=TRUE,0.33*E70,IF(AND(D70=-35,E70=300)=TRUE,0.33*E70,IF(AND(D70=-100,E70=160)=TRUE,0.33*E70,IF(AND(D70=-100,E70=900)=TRUE,0.33*E70,"x")))))))</f>
        <v/>
      </c>
      <c r="I70" s="90">
        <f>IF(AND(D70&lt;0,E70=0)=TRUE,0.25*D70,IF(AND(D70=0,E70&gt;0)=TRUE,0.75*E70,IF(D70=-E70,0.5*E70,IF(AND(D70=-20,E70=100)=TRUE,0.66*E70,IF(AND(D70=-35,E70=300)=TRUE,0.66*E70,IF(AND(D70=-100,E70=160)=TRUE,0.66*E70,IF(AND(D70=-100,E70=900)=TRUE,0.66*E70,"x")))))))</f>
        <v/>
      </c>
      <c r="J70" s="91">
        <f>IF(AND(D70&lt;0,E70=0)=TRUE,0*D70,IF(AND(D70=0,E70&gt;0)=TRUE,0.98*E70,IF(D70=-E70,0.98*E70,IF(AND(D70=-20,E70=100)=TRUE,0.98*E70,IF(AND(D70=-35,E70=300)=TRUE,0.98*E70,IF(AND(D70=-100,E70=160)=TRUE,0.98*E70,IF(AND(D70=-100,E70=900)=TRUE,0.98*E70,"x")))))))</f>
        <v/>
      </c>
      <c r="K70" s="501" t="inlineStr">
        <is>
          <t>Pass</t>
        </is>
      </c>
      <c r="L70" s="502" t="inlineStr">
        <is>
          <t>-</t>
        </is>
      </c>
      <c r="M70" s="92">
        <f>F70</f>
        <v/>
      </c>
      <c r="N70" s="93">
        <f>G70</f>
        <v/>
      </c>
      <c r="O70" s="94">
        <f>H70</f>
        <v/>
      </c>
      <c r="P70" s="93">
        <f>I70</f>
        <v/>
      </c>
      <c r="Q70" s="95">
        <f>J70</f>
        <v/>
      </c>
      <c r="R70" s="503" t="inlineStr">
        <is>
          <t>kPa</t>
        </is>
      </c>
      <c r="S70" s="504">
        <f>IF(D70&lt;E70,(E70-D70)*0.002,"x")</f>
        <v/>
      </c>
      <c r="T70" s="503" t="n">
        <v>3355062</v>
      </c>
      <c r="U70" s="42" t="n"/>
    </row>
    <row r="71" ht="15" customFormat="1" customHeight="1" s="2" thickBot="1">
      <c r="A71" s="45" t="n"/>
      <c r="B71" s="505" t="n"/>
      <c r="C71" s="505" t="n"/>
      <c r="D71" s="505" t="n"/>
      <c r="E71" s="506" t="n"/>
      <c r="F71" s="480" t="n">
        <v>0.07000000000000001</v>
      </c>
      <c r="G71" s="480" t="n">
        <v>74.81999999999999</v>
      </c>
      <c r="H71" s="480" t="n">
        <v>149.81</v>
      </c>
      <c r="I71" s="480" t="n">
        <v>224.82</v>
      </c>
      <c r="J71" s="480" t="n">
        <v>293.73</v>
      </c>
      <c r="K71" s="505" t="n"/>
      <c r="L71" s="505" t="n"/>
      <c r="M71" s="480" t="n">
        <v>0</v>
      </c>
      <c r="N71" s="480" t="n">
        <v>75.01000000000001</v>
      </c>
      <c r="O71" s="480" t="n">
        <v>150.01</v>
      </c>
      <c r="P71" s="480" t="n">
        <v>225</v>
      </c>
      <c r="Q71" s="480" t="n">
        <v>294</v>
      </c>
      <c r="R71" s="505" t="n"/>
      <c r="S71" s="507" t="n"/>
      <c r="T71" s="505" t="n"/>
      <c r="U71" s="42" t="n"/>
    </row>
    <row r="72" ht="15" customFormat="1" customHeight="1" s="2" thickBot="1">
      <c r="A72" s="45" t="n"/>
      <c r="B72" s="337" t="n">
        <v>65</v>
      </c>
      <c r="C72" s="337" t="inlineStr">
        <is>
          <t>PTX65</t>
        </is>
      </c>
      <c r="D72" s="337" t="n">
        <v>0</v>
      </c>
      <c r="E72" s="500" t="n">
        <v>300</v>
      </c>
      <c r="F72" s="163">
        <f>IF(AND(D72&lt;0,E72=0)=TRUE,0.98*D72,IF(AND(D72=0,E72&gt;0)=TRUE,0,IF(D72=-E72,0.98*D72,IF(AND(D72=-20,E72=100)=TRUE,0.98*D72,IF(AND(D72=-35,E72=300)=TRUE,0.98*D72,IF(AND(D72=-100,E72=160)=TRUE,80,IF(AND(D72=-100,E72=900)=TRUE,80,"x")))))))</f>
        <v/>
      </c>
      <c r="G72" s="90">
        <f>IF(AND(D72&lt;0,E72=0)=TRUE,0.75*D72,IF(AND(D72=0,E72&gt;0)=TRUE,0.25*E72,IF(D72=-E72,0.5*D72,IF(AND(D72=-20,E72=100)=TRUE,0,IF(AND(D72=-35,E72=300)=TRUE,0,IF(AND(D72=-100,E72=160)=TRUE,0,IF(AND(D72=-100,E72=900)=TRUE,0,"x")))))))</f>
        <v/>
      </c>
      <c r="H72" s="90">
        <f>IF(AND(D72&lt;0,E72=0)=TRUE,0.5*D72,IF(AND(D72=0,E72&gt;0)=TRUE,0.5*E72,IF(D72=-E72,0,IF(AND(D72=-20,E72=100)=TRUE,0.33*E72,IF(AND(D72=-35,E72=300)=TRUE,0.33*E72,IF(AND(D72=-100,E72=160)=TRUE,0.33*E72,IF(AND(D72=-100,E72=900)=TRUE,0.33*E72,"x")))))))</f>
        <v/>
      </c>
      <c r="I72" s="90">
        <f>IF(AND(D72&lt;0,E72=0)=TRUE,0.25*D72,IF(AND(D72=0,E72&gt;0)=TRUE,0.75*E72,IF(D72=-E72,0.5*E72,IF(AND(D72=-20,E72=100)=TRUE,0.66*E72,IF(AND(D72=-35,E72=300)=TRUE,0.66*E72,IF(AND(D72=-100,E72=160)=TRUE,0.66*E72,IF(AND(D72=-100,E72=900)=TRUE,0.66*E72,"x")))))))</f>
        <v/>
      </c>
      <c r="J72" s="91">
        <f>IF(AND(D72&lt;0,E72=0)=TRUE,0*D72,IF(AND(D72=0,E72&gt;0)=TRUE,0.98*E72,IF(D72=-E72,0.98*E72,IF(AND(D72=-20,E72=100)=TRUE,0.98*E72,IF(AND(D72=-35,E72=300)=TRUE,0.98*E72,IF(AND(D72=-100,E72=160)=TRUE,0.98*E72,IF(AND(D72=-100,E72=900)=TRUE,0.98*E72,"x")))))))</f>
        <v/>
      </c>
      <c r="K72" s="501" t="inlineStr">
        <is>
          <t>Pass</t>
        </is>
      </c>
      <c r="L72" s="502" t="inlineStr">
        <is>
          <t>-</t>
        </is>
      </c>
      <c r="M72" s="92">
        <f>F72</f>
        <v/>
      </c>
      <c r="N72" s="93">
        <f>G72</f>
        <v/>
      </c>
      <c r="O72" s="94">
        <f>H72</f>
        <v/>
      </c>
      <c r="P72" s="93">
        <f>I72</f>
        <v/>
      </c>
      <c r="Q72" s="95">
        <f>J72</f>
        <v/>
      </c>
      <c r="R72" s="503" t="inlineStr">
        <is>
          <t>kPa</t>
        </is>
      </c>
      <c r="S72" s="504">
        <f>IF(D72&lt;E72,(E72-D72)*0.002,"x")</f>
        <v/>
      </c>
      <c r="T72" s="503" t="n">
        <v>3355020</v>
      </c>
      <c r="U72" s="42" t="n"/>
    </row>
    <row r="73" ht="13" customHeight="1" thickBot="1">
      <c r="A73" s="45" t="n"/>
      <c r="B73" s="505" t="n"/>
      <c r="C73" s="505" t="n"/>
      <c r="D73" s="505" t="n"/>
      <c r="E73" s="506" t="n"/>
      <c r="F73" s="480" t="n">
        <v>0.03</v>
      </c>
      <c r="G73" s="480" t="n">
        <v>75.28</v>
      </c>
      <c r="H73" s="480" t="n">
        <v>150.33</v>
      </c>
      <c r="I73" s="480" t="n">
        <v>225.33</v>
      </c>
      <c r="J73" s="480" t="n">
        <v>293.92</v>
      </c>
      <c r="K73" s="505" t="n"/>
      <c r="L73" s="505" t="n"/>
      <c r="M73" s="480" t="n"/>
      <c r="N73" s="481" t="n"/>
      <c r="O73" s="481" t="n"/>
      <c r="P73" s="481" t="n"/>
      <c r="Q73" s="482" t="n"/>
      <c r="R73" s="505" t="n"/>
      <c r="S73" s="507" t="n"/>
      <c r="T73" s="505" t="n"/>
      <c r="U73" s="42" t="n"/>
    </row>
    <row r="74" ht="13" customHeight="1" thickBot="1">
      <c r="A74" s="45" t="n"/>
      <c r="B74" s="337" t="n">
        <v>66</v>
      </c>
      <c r="C74" s="337" t="inlineStr">
        <is>
          <t>PTX66</t>
        </is>
      </c>
      <c r="D74" s="337" t="n">
        <v>0</v>
      </c>
      <c r="E74" s="500" t="n">
        <v>300</v>
      </c>
      <c r="F74" s="163">
        <f>IF(AND(D74&lt;0,E74=0)=TRUE,0.98*D74,IF(AND(D74=0,E74&gt;0)=TRUE,0,IF(D74=-E74,0.98*D74,IF(AND(D74=-20,E74=100)=TRUE,0.98*D74,IF(AND(D74=-35,E74=300)=TRUE,0.98*D74,IF(AND(D74=-100,E74=160)=TRUE,80,IF(AND(D74=-100,E74=900)=TRUE,80,"x")))))))</f>
        <v/>
      </c>
      <c r="G74" s="90">
        <f>IF(AND(D74&lt;0,E74=0)=TRUE,0.75*D74,IF(AND(D74=0,E74&gt;0)=TRUE,0.25*E74,IF(D74=-E74,0.5*D74,IF(AND(D74=-20,E74=100)=TRUE,0,IF(AND(D74=-35,E74=300)=TRUE,0,IF(AND(D74=-100,E74=160)=TRUE,0,IF(AND(D74=-100,E74=900)=TRUE,0,"x")))))))</f>
        <v/>
      </c>
      <c r="H74" s="90">
        <f>IF(AND(D74&lt;0,E74=0)=TRUE,0.5*D74,IF(AND(D74=0,E74&gt;0)=TRUE,0.5*E74,IF(D74=-E74,0,IF(AND(D74=-20,E74=100)=TRUE,0.33*E74,IF(AND(D74=-35,E74=300)=TRUE,0.33*E74,IF(AND(D74=-100,E74=160)=TRUE,0.33*E74,IF(AND(D74=-100,E74=900)=TRUE,0.33*E74,"x")))))))</f>
        <v/>
      </c>
      <c r="I74" s="90">
        <f>IF(AND(D74&lt;0,E74=0)=TRUE,0.25*D74,IF(AND(D74=0,E74&gt;0)=TRUE,0.75*E74,IF(D74=-E74,0.5*E74,IF(AND(D74=-20,E74=100)=TRUE,0.66*E74,IF(AND(D74=-35,E74=300)=TRUE,0.66*E74,IF(AND(D74=-100,E74=160)=TRUE,0.66*E74,IF(AND(D74=-100,E74=900)=TRUE,0.66*E74,"x")))))))</f>
        <v/>
      </c>
      <c r="J74" s="91">
        <f>IF(AND(D74&lt;0,E74=0)=TRUE,0*D74,IF(AND(D74=0,E74&gt;0)=TRUE,0.98*E74,IF(D74=-E74,0.98*E74,IF(AND(D74=-20,E74=100)=TRUE,0.98*E74,IF(AND(D74=-35,E74=300)=TRUE,0.98*E74,IF(AND(D74=-100,E74=160)=TRUE,0.98*E74,IF(AND(D74=-100,E74=900)=TRUE,0.98*E74,"x")))))))</f>
        <v/>
      </c>
      <c r="K74" s="501" t="inlineStr">
        <is>
          <t>Fail</t>
        </is>
      </c>
      <c r="L74" s="502" t="inlineStr">
        <is>
          <t>-</t>
        </is>
      </c>
      <c r="M74" s="92">
        <f>F74</f>
        <v/>
      </c>
      <c r="N74" s="93">
        <f>G74</f>
        <v/>
      </c>
      <c r="O74" s="94">
        <f>H74</f>
        <v/>
      </c>
      <c r="P74" s="93">
        <f>I74</f>
        <v/>
      </c>
      <c r="Q74" s="95">
        <f>J74</f>
        <v/>
      </c>
      <c r="R74" s="503" t="inlineStr">
        <is>
          <t>kPa</t>
        </is>
      </c>
      <c r="S74" s="504">
        <f>IF(D74&lt;E74,(E74-D74)*0.002,"x")</f>
        <v/>
      </c>
      <c r="T74" s="503" t="n">
        <v>3353513</v>
      </c>
      <c r="U74" s="42" t="n"/>
    </row>
    <row r="75" ht="13" customHeight="1" thickBot="1">
      <c r="A75" s="45" t="n"/>
      <c r="B75" s="505" t="n"/>
      <c r="C75" s="505" t="n"/>
      <c r="D75" s="505" t="n"/>
      <c r="E75" s="506" t="n"/>
      <c r="F75" s="480" t="n">
        <v>0</v>
      </c>
      <c r="G75" s="480" t="n">
        <v>75.31999999999999</v>
      </c>
      <c r="H75" s="480" t="n">
        <v>150.52</v>
      </c>
      <c r="I75" s="480" t="n">
        <v>225.11</v>
      </c>
      <c r="J75" s="480" t="n">
        <v>294.01</v>
      </c>
      <c r="K75" s="505" t="n"/>
      <c r="L75" s="505" t="n"/>
      <c r="M75" s="480" t="n">
        <v>0</v>
      </c>
      <c r="N75" s="480" t="n">
        <v>75</v>
      </c>
      <c r="O75" s="480" t="n">
        <v>150</v>
      </c>
      <c r="P75" s="480" t="n">
        <v>225.07</v>
      </c>
      <c r="Q75" s="480" t="n">
        <v>294.01</v>
      </c>
      <c r="R75" s="505" t="n"/>
      <c r="S75" s="507" t="n"/>
      <c r="T75" s="505" t="n"/>
      <c r="U75" s="42" t="n"/>
    </row>
    <row r="76" ht="13" customHeight="1" thickBot="1">
      <c r="A76" s="45" t="n"/>
      <c r="B76" s="337" t="n">
        <v>67</v>
      </c>
      <c r="C76" s="337" t="inlineStr">
        <is>
          <t>PTX67</t>
        </is>
      </c>
      <c r="D76" s="337" t="n">
        <v>0</v>
      </c>
      <c r="E76" s="500" t="n">
        <v>7</v>
      </c>
      <c r="F76" s="163">
        <f>IF(AND(D76&lt;0,E76=0)=TRUE,0.98*D76,IF(AND(D76=0,E76&gt;0)=TRUE,0,IF(D76=-E76,0.98*D76,IF(AND(D76=-20,E76=100)=TRUE,0.98*D76,IF(AND(D76=-35,E76=300)=TRUE,0.98*D76,IF(AND(D76=-100,E76=160)=TRUE,80,IF(AND(D76=-100,E76=900)=TRUE,80,"x")))))))</f>
        <v/>
      </c>
      <c r="G76" s="90">
        <f>IF(AND(D76&lt;0,E76=0)=TRUE,0.75*D76,IF(AND(D76=0,E76&gt;0)=TRUE,0.25*E76,IF(D76=-E76,0.5*D76,IF(AND(D76=-20,E76=100)=TRUE,0,IF(AND(D76=-35,E76=300)=TRUE,0,IF(AND(D76=-100,E76=160)=TRUE,0,IF(AND(D76=-100,E76=900)=TRUE,0,"x")))))))</f>
        <v/>
      </c>
      <c r="H76" s="90">
        <f>IF(AND(D76&lt;0,E76=0)=TRUE,0.5*D76,IF(AND(D76=0,E76&gt;0)=TRUE,0.5*E76,IF(D76=-E76,0,IF(AND(D76=-20,E76=100)=TRUE,0.33*E76,IF(AND(D76=-35,E76=300)=TRUE,0.33*E76,IF(AND(D76=-100,E76=160)=TRUE,0.33*E76,IF(AND(D76=-100,E76=900)=TRUE,0.33*E76,"x")))))))</f>
        <v/>
      </c>
      <c r="I76" s="90">
        <f>IF(AND(D76&lt;0,E76=0)=TRUE,0.25*D76,IF(AND(D76=0,E76&gt;0)=TRUE,0.75*E76,IF(D76=-E76,0.5*E76,IF(AND(D76=-20,E76=100)=TRUE,0.66*E76,IF(AND(D76=-35,E76=300)=TRUE,0.66*E76,IF(AND(D76=-100,E76=160)=TRUE,0.66*E76,IF(AND(D76=-100,E76=900)=TRUE,0.66*E76,"x")))))))</f>
        <v/>
      </c>
      <c r="J76" s="91">
        <f>IF(AND(D76&lt;0,E76=0)=TRUE,0*D76,IF(AND(D76=0,E76&gt;0)=TRUE,0.98*E76,IF(D76=-E76,0.98*E76,IF(AND(D76=-20,E76=100)=TRUE,0.98*E76,IF(AND(D76=-35,E76=300)=TRUE,0.98*E76,IF(AND(D76=-100,E76=160)=TRUE,0.98*E76,IF(AND(D76=-100,E76=900)=TRUE,0.98*E76,"x")))))))</f>
        <v/>
      </c>
      <c r="K76" s="501" t="inlineStr">
        <is>
          <t>Pass</t>
        </is>
      </c>
      <c r="L76" s="502" t="inlineStr">
        <is>
          <t>-</t>
        </is>
      </c>
      <c r="M76" s="92">
        <f>F76</f>
        <v/>
      </c>
      <c r="N76" s="93">
        <f>G76</f>
        <v/>
      </c>
      <c r="O76" s="94">
        <f>H76</f>
        <v/>
      </c>
      <c r="P76" s="93">
        <f>I76</f>
        <v/>
      </c>
      <c r="Q76" s="95">
        <f>J76</f>
        <v/>
      </c>
      <c r="R76" s="503" t="inlineStr">
        <is>
          <t>kPa</t>
        </is>
      </c>
      <c r="S76" s="504">
        <f>IF(D76&lt;E76,(E76-D76)*0.002,"x")</f>
        <v/>
      </c>
      <c r="T76" s="503" t="n"/>
      <c r="U76" s="42" t="n"/>
    </row>
    <row r="77" ht="13" customHeight="1" thickBot="1">
      <c r="A77" s="45" t="n"/>
      <c r="B77" s="505" t="n"/>
      <c r="C77" s="505" t="n"/>
      <c r="D77" s="505" t="n"/>
      <c r="E77" s="506" t="n"/>
      <c r="F77" s="480" t="n"/>
      <c r="G77" s="481" t="n"/>
      <c r="H77" s="481" t="n"/>
      <c r="I77" s="481" t="n"/>
      <c r="J77" s="482" t="n"/>
      <c r="K77" s="505" t="n"/>
      <c r="L77" s="505" t="n"/>
      <c r="M77" s="480" t="n"/>
      <c r="N77" s="481" t="n"/>
      <c r="O77" s="481" t="n"/>
      <c r="P77" s="481" t="n"/>
      <c r="Q77" s="482" t="n"/>
      <c r="R77" s="505" t="n"/>
      <c r="S77" s="507" t="n"/>
      <c r="T77" s="505" t="n"/>
      <c r="U77" s="42" t="n"/>
    </row>
    <row r="78" ht="13" customHeight="1" thickBot="1">
      <c r="A78" s="45" t="n"/>
      <c r="B78" s="337" t="n">
        <v>68</v>
      </c>
      <c r="C78" s="337" t="n"/>
      <c r="D78" s="337" t="n">
        <v>0</v>
      </c>
      <c r="E78" s="500" t="n">
        <v>7</v>
      </c>
      <c r="F78" s="163">
        <f>IF(AND(D78&lt;0,E78=0)=TRUE,0.98*D78,IF(AND(D78=0,E78&gt;0)=TRUE,0,IF(D78=-E78,0.98*D78,IF(AND(D78=-20,E78=100)=TRUE,0.98*D78,IF(AND(D78=-35,E78=300)=TRUE,0.98*D78,IF(AND(D78=-100,E78=160)=TRUE,80,IF(AND(D78=-100,E78=900)=TRUE,80,"x")))))))</f>
        <v/>
      </c>
      <c r="G78" s="90">
        <f>IF(AND(D78&lt;0,E78=0)=TRUE,0.75*D78,IF(AND(D78=0,E78&gt;0)=TRUE,0.25*E78,IF(D78=-E78,0.5*D78,IF(AND(D78=-20,E78=100)=TRUE,0,IF(AND(D78=-35,E78=300)=TRUE,0,IF(AND(D78=-100,E78=160)=TRUE,0,IF(AND(D78=-100,E78=900)=TRUE,0,"x")))))))</f>
        <v/>
      </c>
      <c r="H78" s="90">
        <f>IF(AND(D78&lt;0,E78=0)=TRUE,0.5*D78,IF(AND(D78=0,E78&gt;0)=TRUE,0.5*E78,IF(D78=-E78,0,IF(AND(D78=-20,E78=100)=TRUE,0.33*E78,IF(AND(D78=-35,E78=300)=TRUE,0.33*E78,IF(AND(D78=-100,E78=160)=TRUE,0.33*E78,IF(AND(D78=-100,E78=900)=TRUE,0.33*E78,"x")))))))</f>
        <v/>
      </c>
      <c r="I78" s="90">
        <f>IF(AND(D78&lt;0,E78=0)=TRUE,0.25*D78,IF(AND(D78=0,E78&gt;0)=TRUE,0.75*E78,IF(D78=-E78,0.5*E78,IF(AND(D78=-20,E78=100)=TRUE,0.66*E78,IF(AND(D78=-35,E78=300)=TRUE,0.66*E78,IF(AND(D78=-100,E78=160)=TRUE,0.66*E78,IF(AND(D78=-100,E78=900)=TRUE,0.66*E78,"x")))))))</f>
        <v/>
      </c>
      <c r="J78" s="91">
        <f>IF(AND(D78&lt;0,E78=0)=TRUE,0*D78,IF(AND(D78=0,E78&gt;0)=TRUE,0.98*E78,IF(D78=-E78,0.98*E78,IF(AND(D78=-20,E78=100)=TRUE,0.98*E78,IF(AND(D78=-35,E78=300)=TRUE,0.98*E78,IF(AND(D78=-100,E78=160)=TRUE,0.98*E78,IF(AND(D78=-100,E78=900)=TRUE,0.98*E78,"x")))))))</f>
        <v/>
      </c>
      <c r="K78" s="501" t="inlineStr">
        <is>
          <t>Pass</t>
        </is>
      </c>
      <c r="L78" s="502" t="inlineStr">
        <is>
          <t>-</t>
        </is>
      </c>
      <c r="M78" s="92">
        <f>F78</f>
        <v/>
      </c>
      <c r="N78" s="93">
        <f>G78</f>
        <v/>
      </c>
      <c r="O78" s="94">
        <f>H78</f>
        <v/>
      </c>
      <c r="P78" s="93">
        <f>I78</f>
        <v/>
      </c>
      <c r="Q78" s="95">
        <f>J78</f>
        <v/>
      </c>
      <c r="R78" s="503" t="inlineStr">
        <is>
          <t>kPa</t>
        </is>
      </c>
      <c r="S78" s="504">
        <f>IF(D78&lt;E78,(E78-D78)*0.002,"x")</f>
        <v/>
      </c>
      <c r="T78" s="503" t="n"/>
      <c r="U78" s="42" t="n"/>
    </row>
    <row r="79" ht="13" customHeight="1" thickBot="1">
      <c r="A79" s="45" t="n"/>
      <c r="B79" s="505" t="n"/>
      <c r="C79" s="505" t="n"/>
      <c r="D79" s="505" t="n"/>
      <c r="E79" s="506" t="n"/>
      <c r="F79" s="480" t="n"/>
      <c r="G79" s="481" t="n"/>
      <c r="H79" s="481" t="n"/>
      <c r="I79" s="481" t="n"/>
      <c r="J79" s="482" t="n"/>
      <c r="K79" s="505" t="n"/>
      <c r="L79" s="505" t="n"/>
      <c r="M79" s="480" t="n"/>
      <c r="N79" s="481" t="n"/>
      <c r="O79" s="481" t="n"/>
      <c r="P79" s="481" t="n"/>
      <c r="Q79" s="482" t="n"/>
      <c r="R79" s="505" t="n"/>
      <c r="S79" s="507" t="n"/>
      <c r="T79" s="505" t="n"/>
      <c r="U79" s="42" t="n"/>
    </row>
    <row r="80" ht="13" customHeight="1" thickBot="1">
      <c r="A80" s="45" t="n"/>
      <c r="B80" s="337" t="n">
        <v>69</v>
      </c>
      <c r="C80" s="337" t="n"/>
      <c r="D80" s="337" t="n">
        <v>0</v>
      </c>
      <c r="E80" s="500" t="n">
        <v>7</v>
      </c>
      <c r="F80" s="163">
        <f>IF(AND(D80&lt;0,E80=0)=TRUE,0.98*D80,IF(AND(D80=0,E80&gt;0)=TRUE,0,IF(D80=-E80,0.98*D80,IF(AND(D80=-20,E80=100)=TRUE,0.98*D80,IF(AND(D80=-35,E80=300)=TRUE,0.98*D80,IF(AND(D80=-100,E80=160)=TRUE,80,IF(AND(D80=-100,E80=900)=TRUE,80,"x")))))))</f>
        <v/>
      </c>
      <c r="G80" s="90">
        <f>IF(AND(D80&lt;0,E80=0)=TRUE,0.75*D80,IF(AND(D80=0,E80&gt;0)=TRUE,0.25*E80,IF(D80=-E80,0.5*D80,IF(AND(D80=-20,E80=100)=TRUE,0,IF(AND(D80=-35,E80=300)=TRUE,0,IF(AND(D80=-100,E80=160)=TRUE,0,IF(AND(D80=-100,E80=900)=TRUE,0,"x")))))))</f>
        <v/>
      </c>
      <c r="H80" s="90">
        <f>IF(AND(D80&lt;0,E80=0)=TRUE,0.5*D80,IF(AND(D80=0,E80&gt;0)=TRUE,0.5*E80,IF(D80=-E80,0,IF(AND(D80=-20,E80=100)=TRUE,0.33*E80,IF(AND(D80=-35,E80=300)=TRUE,0.33*E80,IF(AND(D80=-100,E80=160)=TRUE,0.33*E80,IF(AND(D80=-100,E80=900)=TRUE,0.33*E80,"x")))))))</f>
        <v/>
      </c>
      <c r="I80" s="90">
        <f>IF(AND(D80&lt;0,E80=0)=TRUE,0.25*D80,IF(AND(D80=0,E80&gt;0)=TRUE,0.75*E80,IF(D80=-E80,0.5*E80,IF(AND(D80=-20,E80=100)=TRUE,0.66*E80,IF(AND(D80=-35,E80=300)=TRUE,0.66*E80,IF(AND(D80=-100,E80=160)=TRUE,0.66*E80,IF(AND(D80=-100,E80=900)=TRUE,0.66*E80,"x")))))))</f>
        <v/>
      </c>
      <c r="J80" s="91">
        <f>IF(AND(D80&lt;0,E80=0)=TRUE,0*D80,IF(AND(D80=0,E80&gt;0)=TRUE,0.98*E80,IF(D80=-E80,0.98*E80,IF(AND(D80=-20,E80=100)=TRUE,0.98*E80,IF(AND(D80=-35,E80=300)=TRUE,0.98*E80,IF(AND(D80=-100,E80=160)=TRUE,0.98*E80,IF(AND(D80=-100,E80=900)=TRUE,0.98*E80,"x")))))))</f>
        <v/>
      </c>
      <c r="K80" s="501" t="inlineStr">
        <is>
          <t>Pass</t>
        </is>
      </c>
      <c r="L80" s="502" t="inlineStr">
        <is>
          <t>-</t>
        </is>
      </c>
      <c r="M80" s="92">
        <f>F80</f>
        <v/>
      </c>
      <c r="N80" s="93">
        <f>G80</f>
        <v/>
      </c>
      <c r="O80" s="94">
        <f>H80</f>
        <v/>
      </c>
      <c r="P80" s="93">
        <f>I80</f>
        <v/>
      </c>
      <c r="Q80" s="95">
        <f>J80</f>
        <v/>
      </c>
      <c r="R80" s="503" t="inlineStr">
        <is>
          <t>kPa</t>
        </is>
      </c>
      <c r="S80" s="504">
        <f>IF(D80&lt;E80,(E80-D80)*0.002,"x")</f>
        <v/>
      </c>
      <c r="T80" s="503" t="n"/>
      <c r="U80" s="42" t="n"/>
    </row>
    <row r="81" ht="13" customHeight="1" thickBot="1">
      <c r="A81" s="45" t="n"/>
      <c r="B81" s="505" t="n"/>
      <c r="C81" s="505" t="n"/>
      <c r="D81" s="505" t="n"/>
      <c r="E81" s="506" t="n"/>
      <c r="F81" s="480" t="n"/>
      <c r="G81" s="481" t="n"/>
      <c r="H81" s="481" t="n"/>
      <c r="I81" s="481" t="n"/>
      <c r="J81" s="482" t="n"/>
      <c r="K81" s="505" t="n"/>
      <c r="L81" s="505" t="n"/>
      <c r="M81" s="480" t="n"/>
      <c r="N81" s="481" t="n"/>
      <c r="O81" s="481" t="n"/>
      <c r="P81" s="481" t="n"/>
      <c r="Q81" s="482" t="n"/>
      <c r="R81" s="505" t="n"/>
      <c r="S81" s="507" t="n"/>
      <c r="T81" s="505" t="n"/>
      <c r="U81" s="42" t="n"/>
    </row>
    <row r="82" ht="13" customHeight="1" thickBot="1">
      <c r="A82" s="45" t="n"/>
      <c r="B82" s="337" t="n">
        <v>70</v>
      </c>
      <c r="C82" s="337" t="n"/>
      <c r="D82" s="337" t="n">
        <v>0</v>
      </c>
      <c r="E82" s="500" t="n">
        <v>7</v>
      </c>
      <c r="F82" s="163">
        <f>IF(AND(D82&lt;0,E82=0)=TRUE,0.98*D82,IF(AND(D82=0,E82&gt;0)=TRUE,0,IF(D82=-E82,0.98*D82,IF(AND(D82=-20,E82=100)=TRUE,0.98*D82,IF(AND(D82=-35,E82=300)=TRUE,0.98*D82,IF(AND(D82=-100,E82=160)=TRUE,80,IF(AND(D82=-100,E82=900)=TRUE,80,"x")))))))</f>
        <v/>
      </c>
      <c r="G82" s="90">
        <f>IF(AND(D82&lt;0,E82=0)=TRUE,0.75*D82,IF(AND(D82=0,E82&gt;0)=TRUE,0.25*E82,IF(D82=-E82,0.5*D82,IF(AND(D82=-20,E82=100)=TRUE,0,IF(AND(D82=-35,E82=300)=TRUE,0,IF(AND(D82=-100,E82=160)=TRUE,0,IF(AND(D82=-100,E82=900)=TRUE,0,"x")))))))</f>
        <v/>
      </c>
      <c r="H82" s="90">
        <f>IF(AND(D82&lt;0,E82=0)=TRUE,0.5*D82,IF(AND(D82=0,E82&gt;0)=TRUE,0.5*E82,IF(D82=-E82,0,IF(AND(D82=-20,E82=100)=TRUE,0.33*E82,IF(AND(D82=-35,E82=300)=TRUE,0.33*E82,IF(AND(D82=-100,E82=160)=TRUE,0.33*E82,IF(AND(D82=-100,E82=900)=TRUE,0.33*E82,"x")))))))</f>
        <v/>
      </c>
      <c r="I82" s="90">
        <f>IF(AND(D82&lt;0,E82=0)=TRUE,0.25*D82,IF(AND(D82=0,E82&gt;0)=TRUE,0.75*E82,IF(D82=-E82,0.5*E82,IF(AND(D82=-20,E82=100)=TRUE,0.66*E82,IF(AND(D82=-35,E82=300)=TRUE,0.66*E82,IF(AND(D82=-100,E82=160)=TRUE,0.66*E82,IF(AND(D82=-100,E82=900)=TRUE,0.66*E82,"x")))))))</f>
        <v/>
      </c>
      <c r="J82" s="91">
        <f>IF(AND(D82&lt;0,E82=0)=TRUE,0*D82,IF(AND(D82=0,E82&gt;0)=TRUE,0.98*E82,IF(D82=-E82,0.98*E82,IF(AND(D82=-20,E82=100)=TRUE,0.98*E82,IF(AND(D82=-35,E82=300)=TRUE,0.98*E82,IF(AND(D82=-100,E82=160)=TRUE,0.98*E82,IF(AND(D82=-100,E82=900)=TRUE,0.98*E82,"x")))))))</f>
        <v/>
      </c>
      <c r="K82" s="501" t="inlineStr">
        <is>
          <t>Pass</t>
        </is>
      </c>
      <c r="L82" s="502" t="inlineStr">
        <is>
          <t>-</t>
        </is>
      </c>
      <c r="M82" s="92">
        <f>F82</f>
        <v/>
      </c>
      <c r="N82" s="93">
        <f>G82</f>
        <v/>
      </c>
      <c r="O82" s="94">
        <f>H82</f>
        <v/>
      </c>
      <c r="P82" s="93">
        <f>I82</f>
        <v/>
      </c>
      <c r="Q82" s="95">
        <f>J82</f>
        <v/>
      </c>
      <c r="R82" s="503" t="inlineStr">
        <is>
          <t>kPa</t>
        </is>
      </c>
      <c r="S82" s="504">
        <f>IF(D82&lt;E82,(E82-D82)*0.002,"x")</f>
        <v/>
      </c>
      <c r="T82" s="503" t="n"/>
      <c r="U82" s="42" t="n"/>
    </row>
    <row r="83" ht="13" customHeight="1" thickBot="1">
      <c r="A83" s="45" t="n"/>
      <c r="B83" s="505" t="n"/>
      <c r="C83" s="505" t="n"/>
      <c r="D83" s="505" t="n"/>
      <c r="E83" s="506" t="n"/>
      <c r="F83" s="480" t="n"/>
      <c r="G83" s="481" t="n"/>
      <c r="H83" s="481" t="n"/>
      <c r="I83" s="481" t="n"/>
      <c r="J83" s="482" t="n"/>
      <c r="K83" s="505" t="n"/>
      <c r="L83" s="505" t="n"/>
      <c r="M83" s="480" t="n"/>
      <c r="N83" s="481" t="n"/>
      <c r="O83" s="481" t="n"/>
      <c r="P83" s="481" t="n"/>
      <c r="Q83" s="482" t="n"/>
      <c r="R83" s="505" t="n"/>
      <c r="S83" s="507" t="n"/>
      <c r="T83" s="505" t="n"/>
      <c r="U83" s="42" t="n"/>
    </row>
    <row r="84" ht="13" customHeight="1" thickBot="1">
      <c r="A84" s="45" t="n"/>
      <c r="B84" s="337" t="n">
        <v>71</v>
      </c>
      <c r="C84" s="337" t="n"/>
      <c r="D84" s="337" t="n">
        <v>0</v>
      </c>
      <c r="E84" s="500" t="n">
        <v>7</v>
      </c>
      <c r="F84" s="163">
        <f>IF(AND(D84&lt;0,E84=0)=TRUE,0.98*D84,IF(AND(D84=0,E84&gt;0)=TRUE,0,IF(D84=-E84,0.98*D84,IF(AND(D84=-20,E84=100)=TRUE,0.98*D84,IF(AND(D84=-35,E84=300)=TRUE,0.98*D84,IF(AND(D84=-100,E84=160)=TRUE,80,IF(AND(D84=-100,E84=900)=TRUE,80,"x")))))))</f>
        <v/>
      </c>
      <c r="G84" s="90">
        <f>IF(AND(D84&lt;0,E84=0)=TRUE,0.75*D84,IF(AND(D84=0,E84&gt;0)=TRUE,0.25*E84,IF(D84=-E84,0.5*D84,IF(AND(D84=-20,E84=100)=TRUE,0,IF(AND(D84=-35,E84=300)=TRUE,0,IF(AND(D84=-100,E84=160)=TRUE,0,IF(AND(D84=-100,E84=900)=TRUE,0,"x")))))))</f>
        <v/>
      </c>
      <c r="H84" s="90">
        <f>IF(AND(D84&lt;0,E84=0)=TRUE,0.5*D84,IF(AND(D84=0,E84&gt;0)=TRUE,0.5*E84,IF(D84=-E84,0,IF(AND(D84=-20,E84=100)=TRUE,0.33*E84,IF(AND(D84=-35,E84=300)=TRUE,0.33*E84,IF(AND(D84=-100,E84=160)=TRUE,0.33*E84,IF(AND(D84=-100,E84=900)=TRUE,0.33*E84,"x")))))))</f>
        <v/>
      </c>
      <c r="I84" s="90">
        <f>IF(AND(D84&lt;0,E84=0)=TRUE,0.25*D84,IF(AND(D84=0,E84&gt;0)=TRUE,0.75*E84,IF(D84=-E84,0.5*E84,IF(AND(D84=-20,E84=100)=TRUE,0.66*E84,IF(AND(D84=-35,E84=300)=TRUE,0.66*E84,IF(AND(D84=-100,E84=160)=TRUE,0.66*E84,IF(AND(D84=-100,E84=900)=TRUE,0.66*E84,"x")))))))</f>
        <v/>
      </c>
      <c r="J84" s="91">
        <f>IF(AND(D84&lt;0,E84=0)=TRUE,0*D84,IF(AND(D84=0,E84&gt;0)=TRUE,0.98*E84,IF(D84=-E84,0.98*E84,IF(AND(D84=-20,E84=100)=TRUE,0.98*E84,IF(AND(D84=-35,E84=300)=TRUE,0.98*E84,IF(AND(D84=-100,E84=160)=TRUE,0.98*E84,IF(AND(D84=-100,E84=900)=TRUE,0.98*E84,"x")))))))</f>
        <v/>
      </c>
      <c r="K84" s="501" t="inlineStr">
        <is>
          <t>Pass</t>
        </is>
      </c>
      <c r="L84" s="502" t="inlineStr">
        <is>
          <t>-</t>
        </is>
      </c>
      <c r="M84" s="92">
        <f>F84</f>
        <v/>
      </c>
      <c r="N84" s="93">
        <f>G84</f>
        <v/>
      </c>
      <c r="O84" s="94">
        <f>H84</f>
        <v/>
      </c>
      <c r="P84" s="93">
        <f>I84</f>
        <v/>
      </c>
      <c r="Q84" s="95">
        <f>J84</f>
        <v/>
      </c>
      <c r="R84" s="503" t="inlineStr">
        <is>
          <t>kPa</t>
        </is>
      </c>
      <c r="S84" s="504">
        <f>IF(D84&lt;E84,(E84-D84)*0.002,"x")</f>
        <v/>
      </c>
      <c r="T84" s="503" t="n"/>
      <c r="U84" s="42" t="n"/>
    </row>
    <row r="85" ht="13" customHeight="1" thickBot="1">
      <c r="A85" s="45" t="n"/>
      <c r="B85" s="505" t="n"/>
      <c r="C85" s="505" t="n"/>
      <c r="D85" s="505" t="n"/>
      <c r="E85" s="506" t="n"/>
      <c r="F85" s="480" t="n"/>
      <c r="G85" s="481" t="n"/>
      <c r="H85" s="481" t="n"/>
      <c r="I85" s="481" t="n"/>
      <c r="J85" s="482" t="n"/>
      <c r="K85" s="505" t="n"/>
      <c r="L85" s="505" t="n"/>
      <c r="M85" s="480" t="n"/>
      <c r="N85" s="481" t="n"/>
      <c r="O85" s="481" t="n"/>
      <c r="P85" s="481" t="n"/>
      <c r="Q85" s="482" t="n"/>
      <c r="R85" s="505" t="n"/>
      <c r="S85" s="507" t="n"/>
      <c r="T85" s="505" t="n"/>
      <c r="U85" s="42" t="n"/>
    </row>
    <row r="86" ht="13" customHeight="1" thickBot="1">
      <c r="A86" s="45" t="n"/>
      <c r="B86" s="337" t="n">
        <v>72</v>
      </c>
      <c r="C86" s="337" t="n"/>
      <c r="D86" s="337" t="n">
        <v>0</v>
      </c>
      <c r="E86" s="500" t="n">
        <v>7</v>
      </c>
      <c r="F86" s="163">
        <f>IF(AND(D86&lt;0,E86=0)=TRUE,0.98*D86,IF(AND(D86=0,E86&gt;0)=TRUE,0,IF(D86=-E86,0.98*D86,IF(AND(D86=-20,E86=100)=TRUE,0.98*D86,IF(AND(D86=-35,E86=300)=TRUE,0.98*D86,IF(AND(D86=-100,E86=160)=TRUE,80,IF(AND(D86=-100,E86=900)=TRUE,80,"x")))))))</f>
        <v/>
      </c>
      <c r="G86" s="90">
        <f>IF(AND(D86&lt;0,E86=0)=TRUE,0.75*D86,IF(AND(D86=0,E86&gt;0)=TRUE,0.25*E86,IF(D86=-E86,0.5*D86,IF(AND(D86=-20,E86=100)=TRUE,0,IF(AND(D86=-35,E86=300)=TRUE,0,IF(AND(D86=-100,E86=160)=TRUE,0,IF(AND(D86=-100,E86=900)=TRUE,0,"x")))))))</f>
        <v/>
      </c>
      <c r="H86" s="90">
        <f>IF(AND(D86&lt;0,E86=0)=TRUE,0.5*D86,IF(AND(D86=0,E86&gt;0)=TRUE,0.5*E86,IF(D86=-E86,0,IF(AND(D86=-20,E86=100)=TRUE,0.33*E86,IF(AND(D86=-35,E86=300)=TRUE,0.33*E86,IF(AND(D86=-100,E86=160)=TRUE,0.33*E86,IF(AND(D86=-100,E86=900)=TRUE,0.33*E86,"x")))))))</f>
        <v/>
      </c>
      <c r="I86" s="90">
        <f>IF(AND(D86&lt;0,E86=0)=TRUE,0.25*D86,IF(AND(D86=0,E86&gt;0)=TRUE,0.75*E86,IF(D86=-E86,0.5*E86,IF(AND(D86=-20,E86=100)=TRUE,0.66*E86,IF(AND(D86=-35,E86=300)=TRUE,0.66*E86,IF(AND(D86=-100,E86=160)=TRUE,0.66*E86,IF(AND(D86=-100,E86=900)=TRUE,0.66*E86,"x")))))))</f>
        <v/>
      </c>
      <c r="J86" s="91">
        <f>IF(AND(D86&lt;0,E86=0)=TRUE,0*D86,IF(AND(D86=0,E86&gt;0)=TRUE,0.98*E86,IF(D86=-E86,0.98*E86,IF(AND(D86=-20,E86=100)=TRUE,0.98*E86,IF(AND(D86=-35,E86=300)=TRUE,0.98*E86,IF(AND(D86=-100,E86=160)=TRUE,0.98*E86,IF(AND(D86=-100,E86=900)=TRUE,0.98*E86,"x")))))))</f>
        <v/>
      </c>
      <c r="K86" s="501" t="inlineStr">
        <is>
          <t>Pass</t>
        </is>
      </c>
      <c r="L86" s="502" t="inlineStr">
        <is>
          <t>-</t>
        </is>
      </c>
      <c r="M86" s="92">
        <f>F86</f>
        <v/>
      </c>
      <c r="N86" s="93">
        <f>G86</f>
        <v/>
      </c>
      <c r="O86" s="94">
        <f>H86</f>
        <v/>
      </c>
      <c r="P86" s="93">
        <f>I86</f>
        <v/>
      </c>
      <c r="Q86" s="95">
        <f>J86</f>
        <v/>
      </c>
      <c r="R86" s="503" t="inlineStr">
        <is>
          <t>kPa</t>
        </is>
      </c>
      <c r="S86" s="504">
        <f>IF(D86&lt;E86,(E86-D86)*0.002,"x")</f>
        <v/>
      </c>
      <c r="T86" s="503" t="n"/>
      <c r="U86" s="42" t="n"/>
    </row>
    <row r="87" ht="13" customHeight="1" thickBot="1">
      <c r="A87" s="45" t="n"/>
      <c r="B87" s="505" t="n"/>
      <c r="C87" s="505" t="n"/>
      <c r="D87" s="505" t="n"/>
      <c r="E87" s="506" t="n"/>
      <c r="F87" s="480" t="n"/>
      <c r="G87" s="481" t="n"/>
      <c r="H87" s="481" t="n"/>
      <c r="I87" s="481" t="n"/>
      <c r="J87" s="482" t="n"/>
      <c r="K87" s="505" t="n"/>
      <c r="L87" s="505" t="n"/>
      <c r="M87" s="480" t="n"/>
      <c r="N87" s="481" t="n"/>
      <c r="O87" s="481" t="n"/>
      <c r="P87" s="481" t="n"/>
      <c r="Q87" s="482" t="n"/>
      <c r="R87" s="505" t="n"/>
      <c r="S87" s="507" t="n"/>
      <c r="T87" s="505" t="n"/>
      <c r="U87" s="42" t="n"/>
    </row>
    <row r="88" ht="13" customHeight="1" thickBot="1">
      <c r="A88" s="45" t="n"/>
      <c r="B88" s="337" t="n">
        <v>73</v>
      </c>
      <c r="C88" s="337" t="n"/>
      <c r="D88" s="337" t="n">
        <v>0</v>
      </c>
      <c r="E88" s="500" t="n">
        <v>7</v>
      </c>
      <c r="F88" s="163">
        <f>IF(AND(D88&lt;0,E88=0)=TRUE,0.98*D88,IF(AND(D88=0,E88&gt;0)=TRUE,0,IF(D88=-E88,0.98*D88,IF(AND(D88=-20,E88=100)=TRUE,0.98*D88,IF(AND(D88=-35,E88=300)=TRUE,0.98*D88,IF(AND(D88=-100,E88=160)=TRUE,80,IF(AND(D88=-100,E88=900)=TRUE,80,"x")))))))</f>
        <v/>
      </c>
      <c r="G88" s="90">
        <f>IF(AND(D88&lt;0,E88=0)=TRUE,0.75*D88,IF(AND(D88=0,E88&gt;0)=TRUE,0.25*E88,IF(D88=-E88,0.5*D88,IF(AND(D88=-20,E88=100)=TRUE,0,IF(AND(D88=-35,E88=300)=TRUE,0,IF(AND(D88=-100,E88=160)=TRUE,0,IF(AND(D88=-100,E88=900)=TRUE,0,"x")))))))</f>
        <v/>
      </c>
      <c r="H88" s="90">
        <f>IF(AND(D88&lt;0,E88=0)=TRUE,0.5*D88,IF(AND(D88=0,E88&gt;0)=TRUE,0.5*E88,IF(D88=-E88,0,IF(AND(D88=-20,E88=100)=TRUE,0.33*E88,IF(AND(D88=-35,E88=300)=TRUE,0.33*E88,IF(AND(D88=-100,E88=160)=TRUE,0.33*E88,IF(AND(D88=-100,E88=900)=TRUE,0.33*E88,"x")))))))</f>
        <v/>
      </c>
      <c r="I88" s="90">
        <f>IF(AND(D88&lt;0,E88=0)=TRUE,0.25*D88,IF(AND(D88=0,E88&gt;0)=TRUE,0.75*E88,IF(D88=-E88,0.5*E88,IF(AND(D88=-20,E88=100)=TRUE,0.66*E88,IF(AND(D88=-35,E88=300)=TRUE,0.66*E88,IF(AND(D88=-100,E88=160)=TRUE,0.66*E88,IF(AND(D88=-100,E88=900)=TRUE,0.66*E88,"x")))))))</f>
        <v/>
      </c>
      <c r="J88" s="91">
        <f>IF(AND(D88&lt;0,E88=0)=TRUE,0*D88,IF(AND(D88=0,E88&gt;0)=TRUE,0.98*E88,IF(D88=-E88,0.98*E88,IF(AND(D88=-20,E88=100)=TRUE,0.98*E88,IF(AND(D88=-35,E88=300)=TRUE,0.98*E88,IF(AND(D88=-100,E88=160)=TRUE,0.98*E88,IF(AND(D88=-100,E88=900)=TRUE,0.98*E88,"x")))))))</f>
        <v/>
      </c>
      <c r="K88" s="501" t="inlineStr">
        <is>
          <t>Pass</t>
        </is>
      </c>
      <c r="L88" s="502" t="inlineStr">
        <is>
          <t>-</t>
        </is>
      </c>
      <c r="M88" s="92">
        <f>F88</f>
        <v/>
      </c>
      <c r="N88" s="93">
        <f>G88</f>
        <v/>
      </c>
      <c r="O88" s="94">
        <f>H88</f>
        <v/>
      </c>
      <c r="P88" s="93">
        <f>I88</f>
        <v/>
      </c>
      <c r="Q88" s="95">
        <f>J88</f>
        <v/>
      </c>
      <c r="R88" s="503" t="inlineStr">
        <is>
          <t>kPa</t>
        </is>
      </c>
      <c r="S88" s="504">
        <f>IF(D88&lt;E88,(E88-D88)*0.002,"x")</f>
        <v/>
      </c>
      <c r="T88" s="503" t="n"/>
      <c r="U88" s="42" t="n"/>
    </row>
    <row r="89" ht="13" customHeight="1" thickBot="1">
      <c r="A89" s="45" t="n"/>
      <c r="B89" s="505" t="n"/>
      <c r="C89" s="505" t="n"/>
      <c r="D89" s="505" t="n"/>
      <c r="E89" s="506" t="n"/>
      <c r="F89" s="480" t="n"/>
      <c r="G89" s="481" t="n"/>
      <c r="H89" s="481" t="n"/>
      <c r="I89" s="481" t="n"/>
      <c r="J89" s="482" t="n"/>
      <c r="K89" s="505" t="n"/>
      <c r="L89" s="505" t="n"/>
      <c r="M89" s="480" t="n"/>
      <c r="N89" s="481" t="n"/>
      <c r="O89" s="481" t="n"/>
      <c r="P89" s="481" t="n"/>
      <c r="Q89" s="482" t="n"/>
      <c r="R89" s="505" t="n"/>
      <c r="S89" s="507" t="n"/>
      <c r="T89" s="505" t="n"/>
      <c r="U89" s="42" t="n"/>
    </row>
    <row r="90" ht="13" customHeight="1" thickBot="1">
      <c r="A90" s="45" t="n"/>
      <c r="B90" s="337" t="n">
        <v>74</v>
      </c>
      <c r="C90" s="337" t="n"/>
      <c r="D90" s="337" t="n">
        <v>0</v>
      </c>
      <c r="E90" s="500" t="n">
        <v>7</v>
      </c>
      <c r="F90" s="163">
        <f>IF(AND(D90&lt;0,E90=0)=TRUE,0.98*D90,IF(AND(D90=0,E90&gt;0)=TRUE,0,IF(D90=-E90,0.98*D90,IF(AND(D90=-20,E90=100)=TRUE,0.98*D90,IF(AND(D90=-35,E90=300)=TRUE,0.98*D90,IF(AND(D90=-100,E90=160)=TRUE,80,IF(AND(D90=-100,E90=900)=TRUE,80,"x")))))))</f>
        <v/>
      </c>
      <c r="G90" s="90">
        <f>IF(AND(D90&lt;0,E90=0)=TRUE,0.75*D90,IF(AND(D90=0,E90&gt;0)=TRUE,0.25*E90,IF(D90=-E90,0.5*D90,IF(AND(D90=-20,E90=100)=TRUE,0,IF(AND(D90=-35,E90=300)=TRUE,0,IF(AND(D90=-100,E90=160)=TRUE,0,IF(AND(D90=-100,E90=900)=TRUE,0,"x")))))))</f>
        <v/>
      </c>
      <c r="H90" s="90">
        <f>IF(AND(D90&lt;0,E90=0)=TRUE,0.5*D90,IF(AND(D90=0,E90&gt;0)=TRUE,0.5*E90,IF(D90=-E90,0,IF(AND(D90=-20,E90=100)=TRUE,0.33*E90,IF(AND(D90=-35,E90=300)=TRUE,0.33*E90,IF(AND(D90=-100,E90=160)=TRUE,0.33*E90,IF(AND(D90=-100,E90=900)=TRUE,0.33*E90,"x")))))))</f>
        <v/>
      </c>
      <c r="I90" s="90">
        <f>IF(AND(D90&lt;0,E90=0)=TRUE,0.25*D90,IF(AND(D90=0,E90&gt;0)=TRUE,0.75*E90,IF(D90=-E90,0.5*E90,IF(AND(D90=-20,E90=100)=TRUE,0.66*E90,IF(AND(D90=-35,E90=300)=TRUE,0.66*E90,IF(AND(D90=-100,E90=160)=TRUE,0.66*E90,IF(AND(D90=-100,E90=900)=TRUE,0.66*E90,"x")))))))</f>
        <v/>
      </c>
      <c r="J90" s="91">
        <f>IF(AND(D90&lt;0,E90=0)=TRUE,0*D90,IF(AND(D90=0,E90&gt;0)=TRUE,0.98*E90,IF(D90=-E90,0.98*E90,IF(AND(D90=-20,E90=100)=TRUE,0.98*E90,IF(AND(D90=-35,E90=300)=TRUE,0.98*E90,IF(AND(D90=-100,E90=160)=TRUE,0.98*E90,IF(AND(D90=-100,E90=900)=TRUE,0.98*E90,"x")))))))</f>
        <v/>
      </c>
      <c r="K90" s="501" t="inlineStr">
        <is>
          <t>Pass</t>
        </is>
      </c>
      <c r="L90" s="502" t="inlineStr">
        <is>
          <t>-</t>
        </is>
      </c>
      <c r="M90" s="92">
        <f>F90</f>
        <v/>
      </c>
      <c r="N90" s="93">
        <f>G90</f>
        <v/>
      </c>
      <c r="O90" s="94">
        <f>H90</f>
        <v/>
      </c>
      <c r="P90" s="93">
        <f>I90</f>
        <v/>
      </c>
      <c r="Q90" s="95">
        <f>J90</f>
        <v/>
      </c>
      <c r="R90" s="503" t="inlineStr">
        <is>
          <t>kPa</t>
        </is>
      </c>
      <c r="S90" s="504">
        <f>IF(D90&lt;E90,(E90-D90)*0.002,"x")</f>
        <v/>
      </c>
      <c r="T90" s="503" t="n"/>
      <c r="U90" s="42" t="n"/>
    </row>
    <row r="91" ht="13" customHeight="1" thickBot="1">
      <c r="A91" s="45" t="n"/>
      <c r="B91" s="505" t="n"/>
      <c r="C91" s="505" t="n"/>
      <c r="D91" s="505" t="n"/>
      <c r="E91" s="506" t="n"/>
      <c r="F91" s="480" t="n"/>
      <c r="G91" s="481" t="n"/>
      <c r="H91" s="481" t="n"/>
      <c r="I91" s="481" t="n"/>
      <c r="J91" s="482" t="n"/>
      <c r="K91" s="505" t="n"/>
      <c r="L91" s="505" t="n"/>
      <c r="M91" s="480" t="n"/>
      <c r="N91" s="481" t="n"/>
      <c r="O91" s="481" t="n"/>
      <c r="P91" s="481" t="n"/>
      <c r="Q91" s="482" t="n"/>
      <c r="R91" s="505" t="n"/>
      <c r="S91" s="507" t="n"/>
      <c r="T91" s="505" t="n"/>
      <c r="U91" s="42" t="n"/>
    </row>
    <row r="92" ht="13" customHeight="1" thickBot="1">
      <c r="A92" s="45" t="n"/>
      <c r="B92" s="337" t="n">
        <v>75</v>
      </c>
      <c r="C92" s="337" t="n"/>
      <c r="D92" s="337" t="n">
        <v>0</v>
      </c>
      <c r="E92" s="500" t="n">
        <v>7</v>
      </c>
      <c r="F92" s="163">
        <f>IF(AND(D92&lt;0,E92=0)=TRUE,0.98*D92,IF(AND(D92=0,E92&gt;0)=TRUE,0,IF(D92=-E92,0.98*D92,IF(AND(D92=-20,E92=100)=TRUE,0.98*D92,IF(AND(D92=-35,E92=300)=TRUE,0.98*D92,IF(AND(D92=-100,E92=160)=TRUE,80,IF(AND(D92=-100,E92=900)=TRUE,80,"x")))))))</f>
        <v/>
      </c>
      <c r="G92" s="90">
        <f>IF(AND(D92&lt;0,E92=0)=TRUE,0.75*D92,IF(AND(D92=0,E92&gt;0)=TRUE,0.25*E92,IF(D92=-E92,0.5*D92,IF(AND(D92=-20,E92=100)=TRUE,0,IF(AND(D92=-35,E92=300)=TRUE,0,IF(AND(D92=-100,E92=160)=TRUE,0,IF(AND(D92=-100,E92=900)=TRUE,0,"x")))))))</f>
        <v/>
      </c>
      <c r="H92" s="90">
        <f>IF(AND(D92&lt;0,E92=0)=TRUE,0.5*D92,IF(AND(D92=0,E92&gt;0)=TRUE,0.5*E92,IF(D92=-E92,0,IF(AND(D92=-20,E92=100)=TRUE,0.33*E92,IF(AND(D92=-35,E92=300)=TRUE,0.33*E92,IF(AND(D92=-100,E92=160)=TRUE,0.33*E92,IF(AND(D92=-100,E92=900)=TRUE,0.33*E92,"x")))))))</f>
        <v/>
      </c>
      <c r="I92" s="90">
        <f>IF(AND(D92&lt;0,E92=0)=TRUE,0.25*D92,IF(AND(D92=0,E92&gt;0)=TRUE,0.75*E92,IF(D92=-E92,0.5*E92,IF(AND(D92=-20,E92=100)=TRUE,0.66*E92,IF(AND(D92=-35,E92=300)=TRUE,0.66*E92,IF(AND(D92=-100,E92=160)=TRUE,0.66*E92,IF(AND(D92=-100,E92=900)=TRUE,0.66*E92,"x")))))))</f>
        <v/>
      </c>
      <c r="J92" s="91">
        <f>IF(AND(D92&lt;0,E92=0)=TRUE,0*D92,IF(AND(D92=0,E92&gt;0)=TRUE,0.98*E92,IF(D92=-E92,0.98*E92,IF(AND(D92=-20,E92=100)=TRUE,0.98*E92,IF(AND(D92=-35,E92=300)=TRUE,0.98*E92,IF(AND(D92=-100,E92=160)=TRUE,0.98*E92,IF(AND(D92=-100,E92=900)=TRUE,0.98*E92,"x")))))))</f>
        <v/>
      </c>
      <c r="K92" s="501" t="inlineStr">
        <is>
          <t>Pass</t>
        </is>
      </c>
      <c r="L92" s="502" t="inlineStr">
        <is>
          <t>-</t>
        </is>
      </c>
      <c r="M92" s="92">
        <f>F92</f>
        <v/>
      </c>
      <c r="N92" s="93">
        <f>G92</f>
        <v/>
      </c>
      <c r="O92" s="94">
        <f>H92</f>
        <v/>
      </c>
      <c r="P92" s="93">
        <f>I92</f>
        <v/>
      </c>
      <c r="Q92" s="95">
        <f>J92</f>
        <v/>
      </c>
      <c r="R92" s="503" t="inlineStr">
        <is>
          <t>kPa</t>
        </is>
      </c>
      <c r="S92" s="504">
        <f>IF(D92&lt;E92,(E92-D92)*0.002,"x")</f>
        <v/>
      </c>
      <c r="T92" s="503" t="n"/>
      <c r="U92" s="42" t="n"/>
    </row>
    <row r="93" ht="13" customHeight="1" thickBot="1">
      <c r="A93" s="45" t="n"/>
      <c r="B93" s="505" t="n"/>
      <c r="C93" s="505" t="n"/>
      <c r="D93" s="505" t="n"/>
      <c r="E93" s="506" t="n"/>
      <c r="F93" s="480" t="n"/>
      <c r="G93" s="481" t="n"/>
      <c r="H93" s="481" t="n"/>
      <c r="I93" s="481" t="n"/>
      <c r="J93" s="482" t="n"/>
      <c r="K93" s="505" t="n"/>
      <c r="L93" s="505" t="n"/>
      <c r="M93" s="480" t="n"/>
      <c r="N93" s="481" t="n"/>
      <c r="O93" s="481" t="n"/>
      <c r="P93" s="481" t="n"/>
      <c r="Q93" s="482" t="n"/>
      <c r="R93" s="505" t="n"/>
      <c r="S93" s="507" t="n"/>
      <c r="T93" s="505" t="n"/>
      <c r="U93" s="42" t="n"/>
    </row>
    <row r="94" ht="13" customHeight="1" thickBot="1">
      <c r="A94" s="45" t="n"/>
      <c r="B94" s="337" t="n">
        <v>76</v>
      </c>
      <c r="C94" s="337" t="n"/>
      <c r="D94" s="337" t="n">
        <v>0</v>
      </c>
      <c r="E94" s="500" t="n">
        <v>7</v>
      </c>
      <c r="F94" s="163">
        <f>IF(AND(D94&lt;0,E94=0)=TRUE,0.98*D94,IF(AND(D94=0,E94&gt;0)=TRUE,0,IF(D94=-E94,0.98*D94,IF(AND(D94=-20,E94=100)=TRUE,0.98*D94,IF(AND(D94=-35,E94=300)=TRUE,0.98*D94,IF(AND(D94=-100,E94=160)=TRUE,80,IF(AND(D94=-100,E94=900)=TRUE,80,"x")))))))</f>
        <v/>
      </c>
      <c r="G94" s="90">
        <f>IF(AND(D94&lt;0,E94=0)=TRUE,0.75*D94,IF(AND(D94=0,E94&gt;0)=TRUE,0.25*E94,IF(D94=-E94,0.5*D94,IF(AND(D94=-20,E94=100)=TRUE,0,IF(AND(D94=-35,E94=300)=TRUE,0,IF(AND(D94=-100,E94=160)=TRUE,0,IF(AND(D94=-100,E94=900)=TRUE,0,"x")))))))</f>
        <v/>
      </c>
      <c r="H94" s="90">
        <f>IF(AND(D94&lt;0,E94=0)=TRUE,0.5*D94,IF(AND(D94=0,E94&gt;0)=TRUE,0.5*E94,IF(D94=-E94,0,IF(AND(D94=-20,E94=100)=TRUE,0.33*E94,IF(AND(D94=-35,E94=300)=TRUE,0.33*E94,IF(AND(D94=-100,E94=160)=TRUE,0.33*E94,IF(AND(D94=-100,E94=900)=TRUE,0.33*E94,"x")))))))</f>
        <v/>
      </c>
      <c r="I94" s="90">
        <f>IF(AND(D94&lt;0,E94=0)=TRUE,0.25*D94,IF(AND(D94=0,E94&gt;0)=TRUE,0.75*E94,IF(D94=-E94,0.5*E94,IF(AND(D94=-20,E94=100)=TRUE,0.66*E94,IF(AND(D94=-35,E94=300)=TRUE,0.66*E94,IF(AND(D94=-100,E94=160)=TRUE,0.66*E94,IF(AND(D94=-100,E94=900)=TRUE,0.66*E94,"x")))))))</f>
        <v/>
      </c>
      <c r="J94" s="91">
        <f>IF(AND(D94&lt;0,E94=0)=TRUE,0*D94,IF(AND(D94=0,E94&gt;0)=TRUE,0.98*E94,IF(D94=-E94,0.98*E94,IF(AND(D94=-20,E94=100)=TRUE,0.98*E94,IF(AND(D94=-35,E94=300)=TRUE,0.98*E94,IF(AND(D94=-100,E94=160)=TRUE,0.98*E94,IF(AND(D94=-100,E94=900)=TRUE,0.98*E94,"x")))))))</f>
        <v/>
      </c>
      <c r="K94" s="501" t="inlineStr">
        <is>
          <t>Pass</t>
        </is>
      </c>
      <c r="L94" s="502" t="inlineStr">
        <is>
          <t>-</t>
        </is>
      </c>
      <c r="M94" s="92">
        <f>F94</f>
        <v/>
      </c>
      <c r="N94" s="93">
        <f>G94</f>
        <v/>
      </c>
      <c r="O94" s="94">
        <f>H94</f>
        <v/>
      </c>
      <c r="P94" s="93">
        <f>I94</f>
        <v/>
      </c>
      <c r="Q94" s="95">
        <f>J94</f>
        <v/>
      </c>
      <c r="R94" s="503" t="inlineStr">
        <is>
          <t>kPa</t>
        </is>
      </c>
      <c r="S94" s="504">
        <f>IF(D94&lt;E94,(E94-D94)*0.002,"x")</f>
        <v/>
      </c>
      <c r="T94" s="503" t="n"/>
      <c r="U94" s="42" t="n"/>
    </row>
    <row r="95" ht="13" customHeight="1" thickBot="1">
      <c r="A95" s="45" t="n"/>
      <c r="B95" s="505" t="n"/>
      <c r="C95" s="505" t="n"/>
      <c r="D95" s="505" t="n"/>
      <c r="E95" s="506" t="n"/>
      <c r="F95" s="480" t="n"/>
      <c r="G95" s="481" t="n"/>
      <c r="H95" s="481" t="n"/>
      <c r="I95" s="481" t="n"/>
      <c r="J95" s="482" t="n"/>
      <c r="K95" s="505" t="n"/>
      <c r="L95" s="505" t="n"/>
      <c r="M95" s="480" t="n"/>
      <c r="N95" s="481" t="n"/>
      <c r="O95" s="481" t="n"/>
      <c r="P95" s="481" t="n"/>
      <c r="Q95" s="482" t="n"/>
      <c r="R95" s="505" t="n"/>
      <c r="S95" s="507" t="n"/>
      <c r="T95" s="505" t="n"/>
      <c r="U95" s="42" t="n"/>
    </row>
    <row r="96" ht="13" customHeight="1" thickBot="1">
      <c r="A96" s="45" t="n"/>
      <c r="B96" s="337" t="n">
        <v>77</v>
      </c>
      <c r="C96" s="337" t="n"/>
      <c r="D96" s="337" t="n">
        <v>0</v>
      </c>
      <c r="E96" s="500" t="n">
        <v>7</v>
      </c>
      <c r="F96" s="163">
        <f>IF(AND(D96&lt;0,E96=0)=TRUE,0.98*D96,IF(AND(D96=0,E96&gt;0)=TRUE,0,IF(D96=-E96,0.98*D96,IF(AND(D96=-20,E96=100)=TRUE,0.98*D96,IF(AND(D96=-35,E96=300)=TRUE,0.98*D96,IF(AND(D96=-100,E96=160)=TRUE,80,IF(AND(D96=-100,E96=900)=TRUE,80,"x")))))))</f>
        <v/>
      </c>
      <c r="G96" s="90">
        <f>IF(AND(D96&lt;0,E96=0)=TRUE,0.75*D96,IF(AND(D96=0,E96&gt;0)=TRUE,0.25*E96,IF(D96=-E96,0.5*D96,IF(AND(D96=-20,E96=100)=TRUE,0,IF(AND(D96=-35,E96=300)=TRUE,0,IF(AND(D96=-100,E96=160)=TRUE,0,IF(AND(D96=-100,E96=900)=TRUE,0,"x")))))))</f>
        <v/>
      </c>
      <c r="H96" s="90">
        <f>IF(AND(D96&lt;0,E96=0)=TRUE,0.5*D96,IF(AND(D96=0,E96&gt;0)=TRUE,0.5*E96,IF(D96=-E96,0,IF(AND(D96=-20,E96=100)=TRUE,0.33*E96,IF(AND(D96=-35,E96=300)=TRUE,0.33*E96,IF(AND(D96=-100,E96=160)=TRUE,0.33*E96,IF(AND(D96=-100,E96=900)=TRUE,0.33*E96,"x")))))))</f>
        <v/>
      </c>
      <c r="I96" s="90">
        <f>IF(AND(D96&lt;0,E96=0)=TRUE,0.25*D96,IF(AND(D96=0,E96&gt;0)=TRUE,0.75*E96,IF(D96=-E96,0.5*E96,IF(AND(D96=-20,E96=100)=TRUE,0.66*E96,IF(AND(D96=-35,E96=300)=TRUE,0.66*E96,IF(AND(D96=-100,E96=160)=TRUE,0.66*E96,IF(AND(D96=-100,E96=900)=TRUE,0.66*E96,"x")))))))</f>
        <v/>
      </c>
      <c r="J96" s="91">
        <f>IF(AND(D96&lt;0,E96=0)=TRUE,0*D96,IF(AND(D96=0,E96&gt;0)=TRUE,0.98*E96,IF(D96=-E96,0.98*E96,IF(AND(D96=-20,E96=100)=TRUE,0.98*E96,IF(AND(D96=-35,E96=300)=TRUE,0.98*E96,IF(AND(D96=-100,E96=160)=TRUE,0.98*E96,IF(AND(D96=-100,E96=900)=TRUE,0.98*E96,"x")))))))</f>
        <v/>
      </c>
      <c r="K96" s="501" t="inlineStr">
        <is>
          <t>Pass</t>
        </is>
      </c>
      <c r="L96" s="502" t="inlineStr">
        <is>
          <t>-</t>
        </is>
      </c>
      <c r="M96" s="92">
        <f>F96</f>
        <v/>
      </c>
      <c r="N96" s="93">
        <f>G96</f>
        <v/>
      </c>
      <c r="O96" s="94">
        <f>H96</f>
        <v/>
      </c>
      <c r="P96" s="93">
        <f>I96</f>
        <v/>
      </c>
      <c r="Q96" s="95">
        <f>J96</f>
        <v/>
      </c>
      <c r="R96" s="503" t="inlineStr">
        <is>
          <t>kPa</t>
        </is>
      </c>
      <c r="S96" s="504">
        <f>IF(D96&lt;E96,(E96-D96)*0.002,"x")</f>
        <v/>
      </c>
      <c r="T96" s="503" t="n"/>
      <c r="U96" s="42" t="n"/>
    </row>
    <row r="97" ht="13" customHeight="1" thickBot="1">
      <c r="A97" s="45" t="n"/>
      <c r="B97" s="505" t="n"/>
      <c r="C97" s="505" t="n"/>
      <c r="D97" s="505" t="n"/>
      <c r="E97" s="506" t="n"/>
      <c r="F97" s="480" t="n"/>
      <c r="G97" s="481" t="n"/>
      <c r="H97" s="481" t="n"/>
      <c r="I97" s="481" t="n"/>
      <c r="J97" s="482" t="n"/>
      <c r="K97" s="505" t="n"/>
      <c r="L97" s="505" t="n"/>
      <c r="M97" s="480" t="n"/>
      <c r="N97" s="481" t="n"/>
      <c r="O97" s="481" t="n"/>
      <c r="P97" s="481" t="n"/>
      <c r="Q97" s="482" t="n"/>
      <c r="R97" s="505" t="n"/>
      <c r="S97" s="507" t="n"/>
      <c r="T97" s="505" t="n"/>
      <c r="U97" s="42" t="n"/>
    </row>
    <row r="98" ht="13" customHeight="1" thickBot="1">
      <c r="A98" s="45" t="n"/>
      <c r="B98" s="337" t="n">
        <v>78</v>
      </c>
      <c r="C98" s="337" t="n"/>
      <c r="D98" s="337" t="n">
        <v>0</v>
      </c>
      <c r="E98" s="500" t="n">
        <v>7</v>
      </c>
      <c r="F98" s="163">
        <f>IF(AND(D98&lt;0,E98=0)=TRUE,0.98*D98,IF(AND(D98=0,E98&gt;0)=TRUE,0,IF(D98=-E98,0.98*D98,IF(AND(D98=-20,E98=100)=TRUE,0.98*D98,IF(AND(D98=-35,E98=300)=TRUE,0.98*D98,IF(AND(D98=-100,E98=160)=TRUE,80,IF(AND(D98=-100,E98=900)=TRUE,80,"x")))))))</f>
        <v/>
      </c>
      <c r="G98" s="90">
        <f>IF(AND(D98&lt;0,E98=0)=TRUE,0.75*D98,IF(AND(D98=0,E98&gt;0)=TRUE,0.25*E98,IF(D98=-E98,0.5*D98,IF(AND(D98=-20,E98=100)=TRUE,0,IF(AND(D98=-35,E98=300)=TRUE,0,IF(AND(D98=-100,E98=160)=TRUE,0,IF(AND(D98=-100,E98=900)=TRUE,0,"x")))))))</f>
        <v/>
      </c>
      <c r="H98" s="90">
        <f>IF(AND(D98&lt;0,E98=0)=TRUE,0.5*D98,IF(AND(D98=0,E98&gt;0)=TRUE,0.5*E98,IF(D98=-E98,0,IF(AND(D98=-20,E98=100)=TRUE,0.33*E98,IF(AND(D98=-35,E98=300)=TRUE,0.33*E98,IF(AND(D98=-100,E98=160)=TRUE,0.33*E98,IF(AND(D98=-100,E98=900)=TRUE,0.33*E98,"x")))))))</f>
        <v/>
      </c>
      <c r="I98" s="90">
        <f>IF(AND(D98&lt;0,E98=0)=TRUE,0.25*D98,IF(AND(D98=0,E98&gt;0)=TRUE,0.75*E98,IF(D98=-E98,0.5*E98,IF(AND(D98=-20,E98=100)=TRUE,0.66*E98,IF(AND(D98=-35,E98=300)=TRUE,0.66*E98,IF(AND(D98=-100,E98=160)=TRUE,0.66*E98,IF(AND(D98=-100,E98=900)=TRUE,0.66*E98,"x")))))))</f>
        <v/>
      </c>
      <c r="J98" s="91">
        <f>IF(AND(D98&lt;0,E98=0)=TRUE,0*D98,IF(AND(D98=0,E98&gt;0)=TRUE,0.98*E98,IF(D98=-E98,0.98*E98,IF(AND(D98=-20,E98=100)=TRUE,0.98*E98,IF(AND(D98=-35,E98=300)=TRUE,0.98*E98,IF(AND(D98=-100,E98=160)=TRUE,0.98*E98,IF(AND(D98=-100,E98=900)=TRUE,0.98*E98,"x")))))))</f>
        <v/>
      </c>
      <c r="K98" s="501" t="inlineStr">
        <is>
          <t>Pass</t>
        </is>
      </c>
      <c r="L98" s="502" t="inlineStr">
        <is>
          <t>-</t>
        </is>
      </c>
      <c r="M98" s="92">
        <f>F98</f>
        <v/>
      </c>
      <c r="N98" s="93">
        <f>G98</f>
        <v/>
      </c>
      <c r="O98" s="94">
        <f>H98</f>
        <v/>
      </c>
      <c r="P98" s="93">
        <f>I98</f>
        <v/>
      </c>
      <c r="Q98" s="95">
        <f>J98</f>
        <v/>
      </c>
      <c r="R98" s="503" t="inlineStr">
        <is>
          <t>kPa</t>
        </is>
      </c>
      <c r="S98" s="504">
        <f>IF(D98&lt;E98,(E98-D98)*0.002,"x")</f>
        <v/>
      </c>
      <c r="T98" s="503" t="n"/>
      <c r="U98" s="42" t="n"/>
    </row>
    <row r="99" ht="13" customHeight="1" thickBot="1">
      <c r="A99" s="45" t="n"/>
      <c r="B99" s="505" t="n"/>
      <c r="C99" s="505" t="n"/>
      <c r="D99" s="505" t="n"/>
      <c r="E99" s="506" t="n"/>
      <c r="F99" s="480" t="n"/>
      <c r="G99" s="481" t="n"/>
      <c r="H99" s="481" t="n"/>
      <c r="I99" s="481" t="n"/>
      <c r="J99" s="482" t="n"/>
      <c r="K99" s="505" t="n"/>
      <c r="L99" s="505" t="n"/>
      <c r="M99" s="480" t="n"/>
      <c r="N99" s="481" t="n"/>
      <c r="O99" s="481" t="n"/>
      <c r="P99" s="481" t="n"/>
      <c r="Q99" s="482" t="n"/>
      <c r="R99" s="505" t="n"/>
      <c r="S99" s="507" t="n"/>
      <c r="T99" s="505" t="n"/>
      <c r="U99" s="42" t="n"/>
    </row>
    <row r="100" ht="13" customHeight="1" thickBot="1">
      <c r="A100" s="45" t="n"/>
      <c r="B100" s="337" t="n">
        <v>79</v>
      </c>
      <c r="C100" s="337" t="n"/>
      <c r="D100" s="337" t="n">
        <v>0</v>
      </c>
      <c r="E100" s="500" t="n">
        <v>7</v>
      </c>
      <c r="F100" s="163">
        <f>IF(AND(D100&lt;0,E100=0)=TRUE,0.98*D100,IF(AND(D100=0,E100&gt;0)=TRUE,0,IF(D100=-E100,0.98*D100,IF(AND(D100=-20,E100=100)=TRUE,0.98*D100,IF(AND(D100=-35,E100=300)=TRUE,0.98*D100,IF(AND(D100=-100,E100=160)=TRUE,80,IF(AND(D100=-100,E100=900)=TRUE,80,"x")))))))</f>
        <v/>
      </c>
      <c r="G100" s="90">
        <f>IF(AND(D100&lt;0,E100=0)=TRUE,0.75*D100,IF(AND(D100=0,E100&gt;0)=TRUE,0.25*E100,IF(D100=-E100,0.5*D100,IF(AND(D100=-20,E100=100)=TRUE,0,IF(AND(D100=-35,E100=300)=TRUE,0,IF(AND(D100=-100,E100=160)=TRUE,0,IF(AND(D100=-100,E100=900)=TRUE,0,"x")))))))</f>
        <v/>
      </c>
      <c r="H100" s="90">
        <f>IF(AND(D100&lt;0,E100=0)=TRUE,0.5*D100,IF(AND(D100=0,E100&gt;0)=TRUE,0.5*E100,IF(D100=-E100,0,IF(AND(D100=-20,E100=100)=TRUE,0.33*E100,IF(AND(D100=-35,E100=300)=TRUE,0.33*E100,IF(AND(D100=-100,E100=160)=TRUE,0.33*E100,IF(AND(D100=-100,E100=900)=TRUE,0.33*E100,"x")))))))</f>
        <v/>
      </c>
      <c r="I100" s="90">
        <f>IF(AND(D100&lt;0,E100=0)=TRUE,0.25*D100,IF(AND(D100=0,E100&gt;0)=TRUE,0.75*E100,IF(D100=-E100,0.5*E100,IF(AND(D100=-20,E100=100)=TRUE,0.66*E100,IF(AND(D100=-35,E100=300)=TRUE,0.66*E100,IF(AND(D100=-100,E100=160)=TRUE,0.66*E100,IF(AND(D100=-100,E100=900)=TRUE,0.66*E100,"x")))))))</f>
        <v/>
      </c>
      <c r="J100" s="91">
        <f>IF(AND(D100&lt;0,E100=0)=TRUE,0*D100,IF(AND(D100=0,E100&gt;0)=TRUE,0.98*E100,IF(D100=-E100,0.98*E100,IF(AND(D100=-20,E100=100)=TRUE,0.98*E100,IF(AND(D100=-35,E100=300)=TRUE,0.98*E100,IF(AND(D100=-100,E100=160)=TRUE,0.98*E100,IF(AND(D100=-100,E100=900)=TRUE,0.98*E100,"x")))))))</f>
        <v/>
      </c>
      <c r="K100" s="501" t="inlineStr">
        <is>
          <t>Pass</t>
        </is>
      </c>
      <c r="L100" s="502" t="inlineStr">
        <is>
          <t>-</t>
        </is>
      </c>
      <c r="M100" s="92">
        <f>F100</f>
        <v/>
      </c>
      <c r="N100" s="93">
        <f>G100</f>
        <v/>
      </c>
      <c r="O100" s="94">
        <f>H100</f>
        <v/>
      </c>
      <c r="P100" s="93">
        <f>I100</f>
        <v/>
      </c>
      <c r="Q100" s="95">
        <f>J100</f>
        <v/>
      </c>
      <c r="R100" s="503" t="inlineStr">
        <is>
          <t>kPa</t>
        </is>
      </c>
      <c r="S100" s="504">
        <f>IF(D100&lt;E100,(E100-D100)*0.002,"x")</f>
        <v/>
      </c>
      <c r="T100" s="503" t="n"/>
      <c r="U100" s="42" t="n"/>
    </row>
    <row r="101" ht="13" customHeight="1" thickBot="1">
      <c r="A101" s="45" t="n"/>
      <c r="B101" s="505" t="n"/>
      <c r="C101" s="505" t="n"/>
      <c r="D101" s="505" t="n"/>
      <c r="E101" s="506" t="n"/>
      <c r="F101" s="480" t="n"/>
      <c r="G101" s="481" t="n"/>
      <c r="H101" s="481" t="n"/>
      <c r="I101" s="481" t="n"/>
      <c r="J101" s="482" t="n"/>
      <c r="K101" s="505" t="n"/>
      <c r="L101" s="505" t="n"/>
      <c r="M101" s="480" t="n"/>
      <c r="N101" s="481" t="n"/>
      <c r="O101" s="481" t="n"/>
      <c r="P101" s="481" t="n"/>
      <c r="Q101" s="482" t="n"/>
      <c r="R101" s="505" t="n"/>
      <c r="S101" s="507" t="n"/>
      <c r="T101" s="505" t="n"/>
      <c r="U101" s="42" t="n"/>
    </row>
    <row r="102" ht="13" customHeight="1" thickBot="1">
      <c r="A102" s="45" t="n"/>
      <c r="B102" s="337" t="n">
        <v>80</v>
      </c>
      <c r="C102" s="337" t="n"/>
      <c r="D102" s="337" t="n">
        <v>0</v>
      </c>
      <c r="E102" s="500" t="n">
        <v>7</v>
      </c>
      <c r="F102" s="163">
        <f>IF(AND(D102&lt;0,E102=0)=TRUE,0.98*D102,IF(AND(D102=0,E102&gt;0)=TRUE,0,IF(D102=-E102,0.98*D102,IF(AND(D102=-20,E102=100)=TRUE,0.98*D102,IF(AND(D102=-35,E102=300)=TRUE,0.98*D102,IF(AND(D102=-100,E102=160)=TRUE,80,IF(AND(D102=-100,E102=900)=TRUE,80,"x")))))))</f>
        <v/>
      </c>
      <c r="G102" s="90">
        <f>IF(AND(D102&lt;0,E102=0)=TRUE,0.75*D102,IF(AND(D102=0,E102&gt;0)=TRUE,0.25*E102,IF(D102=-E102,0.5*D102,IF(AND(D102=-20,E102=100)=TRUE,0,IF(AND(D102=-35,E102=300)=TRUE,0,IF(AND(D102=-100,E102=160)=TRUE,0,IF(AND(D102=-100,E102=900)=TRUE,0,"x")))))))</f>
        <v/>
      </c>
      <c r="H102" s="90">
        <f>IF(AND(D102&lt;0,E102=0)=TRUE,0.5*D102,IF(AND(D102=0,E102&gt;0)=TRUE,0.5*E102,IF(D102=-E102,0,IF(AND(D102=-20,E102=100)=TRUE,0.33*E102,IF(AND(D102=-35,E102=300)=TRUE,0.33*E102,IF(AND(D102=-100,E102=160)=TRUE,0.33*E102,IF(AND(D102=-100,E102=900)=TRUE,0.33*E102,"x")))))))</f>
        <v/>
      </c>
      <c r="I102" s="90">
        <f>IF(AND(D102&lt;0,E102=0)=TRUE,0.25*D102,IF(AND(D102=0,E102&gt;0)=TRUE,0.75*E102,IF(D102=-E102,0.5*E102,IF(AND(D102=-20,E102=100)=TRUE,0.66*E102,IF(AND(D102=-35,E102=300)=TRUE,0.66*E102,IF(AND(D102=-100,E102=160)=TRUE,0.66*E102,IF(AND(D102=-100,E102=900)=TRUE,0.66*E102,"x")))))))</f>
        <v/>
      </c>
      <c r="J102" s="91">
        <f>IF(AND(D102&lt;0,E102=0)=TRUE,0*D102,IF(AND(D102=0,E102&gt;0)=TRUE,0.98*E102,IF(D102=-E102,0.98*E102,IF(AND(D102=-20,E102=100)=TRUE,0.98*E102,IF(AND(D102=-35,E102=300)=TRUE,0.98*E102,IF(AND(D102=-100,E102=160)=TRUE,0.98*E102,IF(AND(D102=-100,E102=900)=TRUE,0.98*E102,"x")))))))</f>
        <v/>
      </c>
      <c r="K102" s="501" t="inlineStr">
        <is>
          <t>Pass</t>
        </is>
      </c>
      <c r="L102" s="502" t="inlineStr">
        <is>
          <t>-</t>
        </is>
      </c>
      <c r="M102" s="92">
        <f>F102</f>
        <v/>
      </c>
      <c r="N102" s="93">
        <f>G102</f>
        <v/>
      </c>
      <c r="O102" s="94">
        <f>H102</f>
        <v/>
      </c>
      <c r="P102" s="93">
        <f>I102</f>
        <v/>
      </c>
      <c r="Q102" s="95">
        <f>J102</f>
        <v/>
      </c>
      <c r="R102" s="503" t="inlineStr">
        <is>
          <t>kPa</t>
        </is>
      </c>
      <c r="S102" s="504">
        <f>IF(D102&lt;E102,(E102-D102)*0.002,"x")</f>
        <v/>
      </c>
      <c r="T102" s="503" t="n"/>
      <c r="U102" s="42" t="n"/>
    </row>
    <row r="103" ht="13" customHeight="1" thickBot="1">
      <c r="A103" s="45" t="n"/>
      <c r="B103" s="505" t="n"/>
      <c r="C103" s="505" t="n"/>
      <c r="D103" s="505" t="n"/>
      <c r="E103" s="506" t="n"/>
      <c r="F103" s="480" t="n"/>
      <c r="G103" s="481" t="n"/>
      <c r="H103" s="481" t="n"/>
      <c r="I103" s="481" t="n"/>
      <c r="J103" s="482" t="n"/>
      <c r="K103" s="505" t="n"/>
      <c r="L103" s="505" t="n"/>
      <c r="M103" s="480" t="n"/>
      <c r="N103" s="481" t="n"/>
      <c r="O103" s="481" t="n"/>
      <c r="P103" s="481" t="n"/>
      <c r="Q103" s="482" t="n"/>
      <c r="R103" s="505" t="n"/>
      <c r="S103" s="507" t="n"/>
      <c r="T103" s="505" t="n"/>
      <c r="U103" s="42" t="n"/>
    </row>
    <row r="104" ht="13" customHeight="1" thickBot="1">
      <c r="A104" s="45" t="n"/>
      <c r="B104" s="11" t="n"/>
      <c r="C104" s="11" t="n"/>
      <c r="D104" s="11" t="n"/>
      <c r="E104" s="11" t="inlineStr">
        <is>
          <t xml:space="preserve">         Pre-Cals. Checked By.</t>
        </is>
      </c>
      <c r="F104" s="496" t="inlineStr">
        <is>
          <t>CD</t>
        </is>
      </c>
      <c r="G104" s="472" t="n"/>
      <c r="H104" s="15" t="n"/>
      <c r="I104" s="15" t="n"/>
      <c r="J104" s="15" t="n"/>
      <c r="K104" s="15" t="n"/>
      <c r="L104" s="15" t="n"/>
      <c r="M104" s="15" t="n"/>
      <c r="N104" s="15" t="n"/>
      <c r="O104" s="15" t="n"/>
      <c r="P104" s="15" t="n"/>
      <c r="Q104" s="15" t="n"/>
      <c r="R104" s="15" t="n"/>
      <c r="S104" s="15" t="n"/>
      <c r="T104" s="15" t="n"/>
      <c r="U104" s="42" t="n"/>
    </row>
    <row r="105">
      <c r="A105" s="45" t="n"/>
      <c r="B105" s="24" t="n"/>
      <c r="C105" s="15" t="n"/>
      <c r="D105" s="15" t="n"/>
      <c r="E105" s="15" t="n"/>
      <c r="F105" s="15" t="n"/>
      <c r="G105" s="11" t="n"/>
      <c r="H105" s="11" t="n"/>
      <c r="I105" s="11" t="n"/>
      <c r="J105" s="11" t="n"/>
      <c r="K105" s="11" t="n"/>
      <c r="L105" s="14" t="n"/>
      <c r="M105" s="15" t="n"/>
      <c r="N105" s="508" t="n"/>
      <c r="O105" s="508" t="n"/>
      <c r="P105" s="15" t="n"/>
      <c r="Q105" s="15" t="n"/>
      <c r="R105" s="15" t="n"/>
      <c r="S105" s="15" t="n"/>
      <c r="T105" s="15" t="n"/>
      <c r="U105" s="42" t="n"/>
    </row>
    <row r="106" ht="13" customHeight="1" thickBot="1">
      <c r="A106" s="45" t="n"/>
      <c r="B106" s="24" t="n"/>
      <c r="C106" s="11" t="n"/>
      <c r="D106" s="11" t="n"/>
      <c r="E106" s="11" t="inlineStr">
        <is>
          <t xml:space="preserve">Pressure Calibrator Used. </t>
        </is>
      </c>
      <c r="F106" s="346" t="inlineStr">
        <is>
          <t>DEVT No.</t>
        </is>
      </c>
      <c r="G106" s="509" t="n"/>
      <c r="H106" s="346" t="inlineStr">
        <is>
          <t>Make / Model</t>
        </is>
      </c>
      <c r="I106" s="509" t="n"/>
      <c r="J106" s="509" t="n"/>
      <c r="K106" s="346" t="inlineStr">
        <is>
          <t>Serial Number</t>
        </is>
      </c>
      <c r="L106" s="509" t="n"/>
      <c r="M106" s="509" t="n"/>
      <c r="N106" s="346" t="inlineStr">
        <is>
          <t>Calibration Next Due</t>
        </is>
      </c>
      <c r="O106" s="509" t="n"/>
      <c r="P106" s="509" t="n"/>
      <c r="Q106" s="15" t="n"/>
      <c r="R106" s="15" t="n"/>
      <c r="S106" s="15" t="n"/>
      <c r="T106" s="15" t="n"/>
      <c r="U106" s="42" t="n"/>
    </row>
    <row r="107">
      <c r="A107" s="45" t="n"/>
      <c r="B107" s="24" t="n"/>
      <c r="C107" s="15" t="n"/>
      <c r="D107" s="15" t="n"/>
      <c r="E107" s="96" t="inlineStr">
        <is>
          <t xml:space="preserve">Range A --&gt; -35 to 35 kPa </t>
        </is>
      </c>
      <c r="F107" s="510" t="n">
        <v>105</v>
      </c>
      <c r="G107" s="511" t="n"/>
      <c r="H107" s="512" t="inlineStr">
        <is>
          <t>Druck DPI 620</t>
        </is>
      </c>
      <c r="I107" s="513" t="n"/>
      <c r="J107" s="511" t="n"/>
      <c r="K107" s="514" t="n"/>
      <c r="L107" s="513" t="n"/>
      <c r="M107" s="511" t="n"/>
      <c r="N107" s="515" t="n">
        <v>44866</v>
      </c>
      <c r="O107" s="513" t="n"/>
      <c r="P107" s="486" t="n"/>
      <c r="Q107" s="508" t="n"/>
      <c r="R107" s="508" t="inlineStr">
        <is>
          <t>Where</t>
        </is>
      </c>
      <c r="S107" s="97" t="inlineStr">
        <is>
          <t>set point</t>
        </is>
      </c>
      <c r="T107" s="15" t="inlineStr">
        <is>
          <t>are the</t>
        </is>
      </c>
      <c r="U107" s="42" t="n"/>
    </row>
    <row r="108">
      <c r="A108" s="45" t="n"/>
      <c r="B108" s="24" t="n"/>
      <c r="C108" s="15" t="n"/>
      <c r="D108" s="15" t="n"/>
      <c r="E108" s="96" t="inlineStr">
        <is>
          <t xml:space="preserve">Range B --&gt; -100 to 600 kPa </t>
        </is>
      </c>
      <c r="F108" s="516" t="n"/>
      <c r="G108" s="517" t="n"/>
      <c r="H108" s="518" t="n"/>
      <c r="I108" s="519" t="n"/>
      <c r="J108" s="517" t="n"/>
      <c r="K108" s="520" t="n"/>
      <c r="L108" s="519" t="n"/>
      <c r="M108" s="517" t="n"/>
      <c r="N108" s="521" t="n"/>
      <c r="O108" s="519" t="n"/>
      <c r="P108" s="522" t="n"/>
      <c r="Q108" s="15" t="n"/>
      <c r="R108" s="15" t="n"/>
      <c r="S108" s="24" t="inlineStr">
        <is>
          <t>calibration points.</t>
        </is>
      </c>
      <c r="T108" s="14" t="n"/>
      <c r="U108" s="42" t="n"/>
    </row>
    <row r="109" ht="13" customHeight="1" thickBot="1">
      <c r="A109" s="45" t="n"/>
      <c r="B109" s="24" t="n"/>
      <c r="C109" s="15" t="n"/>
      <c r="D109" s="15" t="n"/>
      <c r="E109" s="96" t="inlineStr">
        <is>
          <t xml:space="preserve">Range C --&gt; 600 to 1000 kPa </t>
        </is>
      </c>
      <c r="F109" s="523" t="n">
        <v>105</v>
      </c>
      <c r="G109" s="524" t="n"/>
      <c r="H109" s="525" t="inlineStr">
        <is>
          <t>Druck DPI 620</t>
        </is>
      </c>
      <c r="I109" s="526" t="n"/>
      <c r="J109" s="524" t="n"/>
      <c r="K109" s="527" t="n"/>
      <c r="L109" s="526" t="n"/>
      <c r="M109" s="524" t="n"/>
      <c r="N109" s="528" t="n">
        <v>44866</v>
      </c>
      <c r="O109" s="526" t="n"/>
      <c r="P109" s="529" t="n"/>
      <c r="Q109" s="11" t="n"/>
      <c r="R109" s="11" t="n"/>
      <c r="S109" s="15" t="n"/>
      <c r="T109" s="15" t="n"/>
      <c r="U109" s="42" t="n"/>
    </row>
    <row r="110" ht="13" customHeight="1" thickBot="1">
      <c r="A110" s="98" t="n"/>
      <c r="B110" s="99" t="n"/>
      <c r="C110" s="99" t="n"/>
      <c r="D110" s="99" t="n"/>
      <c r="E110" s="99" t="n"/>
      <c r="F110" s="99" t="n"/>
      <c r="G110" s="99" t="n"/>
      <c r="H110" s="99" t="n"/>
      <c r="I110" s="99" t="n"/>
      <c r="J110" s="99" t="n"/>
      <c r="K110" s="99" t="n"/>
      <c r="L110" s="99" t="n"/>
      <c r="M110" s="99" t="n"/>
      <c r="N110" s="99" t="n"/>
      <c r="O110" s="99" t="n"/>
      <c r="P110" s="100" t="n"/>
      <c r="Q110" s="99" t="n"/>
      <c r="R110" s="99" t="n"/>
      <c r="S110" s="99" t="n"/>
      <c r="T110" s="99" t="n"/>
      <c r="U110" s="46" t="n"/>
    </row>
    <row r="111" ht="13" customHeight="1" thickTop="1">
      <c r="A111" s="394" t="n"/>
      <c r="B111" s="394" t="n"/>
      <c r="C111" s="242" t="n"/>
      <c r="D111" s="394" t="n"/>
      <c r="E111" s="394" t="n"/>
      <c r="F111" s="394" t="n"/>
      <c r="G111" s="394" t="n"/>
      <c r="H111" s="394" t="n"/>
      <c r="I111" s="394" t="n"/>
      <c r="J111" s="394" t="n"/>
      <c r="K111" s="394" t="n"/>
      <c r="L111" s="394" t="n"/>
      <c r="M111" s="394" t="n"/>
      <c r="N111" s="394" t="n"/>
      <c r="O111" s="394" t="n"/>
      <c r="P111" s="394" t="n"/>
      <c r="Q111" s="394" t="n"/>
      <c r="R111" s="394" t="n"/>
      <c r="S111" s="394" t="n"/>
      <c r="T111" s="394" t="n"/>
      <c r="U111" s="394" t="n"/>
    </row>
  </sheetData>
  <mergeCells count="406">
    <mergeCell ref="K88:K89"/>
    <mergeCell ref="R13:R14"/>
    <mergeCell ref="R84:R85"/>
    <mergeCell ref="E88:E89"/>
    <mergeCell ref="T78:T79"/>
    <mergeCell ref="D21:D22"/>
    <mergeCell ref="F108:G108"/>
    <mergeCell ref="K106:M106"/>
    <mergeCell ref="R15:R16"/>
    <mergeCell ref="R86:R87"/>
    <mergeCell ref="B29:B30"/>
    <mergeCell ref="H109:J109"/>
    <mergeCell ref="R80:R81"/>
    <mergeCell ref="B23:B24"/>
    <mergeCell ref="T80:T81"/>
    <mergeCell ref="K27:K28"/>
    <mergeCell ref="T92:T93"/>
    <mergeCell ref="B37:B38"/>
    <mergeCell ref="F8:J8"/>
    <mergeCell ref="C27:C28"/>
    <mergeCell ref="B64:B65"/>
    <mergeCell ref="D64:D65"/>
    <mergeCell ref="N108:P108"/>
    <mergeCell ref="R33:R34"/>
    <mergeCell ref="E25:E26"/>
    <mergeCell ref="K9:K10"/>
    <mergeCell ref="L66:L67"/>
    <mergeCell ref="B90:B91"/>
    <mergeCell ref="E13:E14"/>
    <mergeCell ref="R74:R75"/>
    <mergeCell ref="B17:B18"/>
    <mergeCell ref="T74:T75"/>
    <mergeCell ref="B11:B12"/>
    <mergeCell ref="D17:D18"/>
    <mergeCell ref="C45:C46"/>
    <mergeCell ref="D11:D12"/>
    <mergeCell ref="E78:E79"/>
    <mergeCell ref="L68:L69"/>
    <mergeCell ref="S102:S103"/>
    <mergeCell ref="L43:L44"/>
    <mergeCell ref="S39:S40"/>
    <mergeCell ref="C47:C48"/>
    <mergeCell ref="S37:S38"/>
    <mergeCell ref="C76:C77"/>
    <mergeCell ref="E27:E28"/>
    <mergeCell ref="F109:G109"/>
    <mergeCell ref="R100:R101"/>
    <mergeCell ref="K66:K67"/>
    <mergeCell ref="T94:T95"/>
    <mergeCell ref="D37:D38"/>
    <mergeCell ref="L21:L22"/>
    <mergeCell ref="R102:R103"/>
    <mergeCell ref="T31:T32"/>
    <mergeCell ref="B45:B46"/>
    <mergeCell ref="T102:T103"/>
    <mergeCell ref="N109:P109"/>
    <mergeCell ref="R23:R24"/>
    <mergeCell ref="D88:D89"/>
    <mergeCell ref="D90:D91"/>
    <mergeCell ref="S27:S28"/>
    <mergeCell ref="D80:D81"/>
    <mergeCell ref="C84:C85"/>
    <mergeCell ref="E84:E85"/>
    <mergeCell ref="L74:L75"/>
    <mergeCell ref="R21:R22"/>
    <mergeCell ref="B98:B99"/>
    <mergeCell ref="E15:E16"/>
    <mergeCell ref="E86:E87"/>
    <mergeCell ref="L76:L77"/>
    <mergeCell ref="T100:T101"/>
    <mergeCell ref="H107:J107"/>
    <mergeCell ref="L9:L10"/>
    <mergeCell ref="T66:T67"/>
    <mergeCell ref="B33:B34"/>
    <mergeCell ref="T90:T91"/>
    <mergeCell ref="L90:L91"/>
    <mergeCell ref="L11:L12"/>
    <mergeCell ref="K74:K75"/>
    <mergeCell ref="N53:P53"/>
    <mergeCell ref="K68:K69"/>
    <mergeCell ref="R39:R40"/>
    <mergeCell ref="E43:E44"/>
    <mergeCell ref="B47:B48"/>
    <mergeCell ref="K76:K77"/>
    <mergeCell ref="B96:B97"/>
    <mergeCell ref="D96:D97"/>
    <mergeCell ref="L37:L38"/>
    <mergeCell ref="K52:M52"/>
    <mergeCell ref="L64:L65"/>
    <mergeCell ref="F51:G51"/>
    <mergeCell ref="T88:T89"/>
    <mergeCell ref="L88:L89"/>
    <mergeCell ref="K53:M53"/>
    <mergeCell ref="D33:D34"/>
    <mergeCell ref="K23:K24"/>
    <mergeCell ref="C72:C73"/>
    <mergeCell ref="T23:T24"/>
    <mergeCell ref="C96:C97"/>
    <mergeCell ref="N54:P54"/>
    <mergeCell ref="M8:Q8"/>
    <mergeCell ref="E100:E101"/>
    <mergeCell ref="H54:J54"/>
    <mergeCell ref="L17:L18"/>
    <mergeCell ref="B66:B67"/>
    <mergeCell ref="N51:P51"/>
    <mergeCell ref="T39:T40"/>
    <mergeCell ref="B41:B42"/>
    <mergeCell ref="E102:E103"/>
    <mergeCell ref="K64:K65"/>
    <mergeCell ref="L98:L99"/>
    <mergeCell ref="D35:D36"/>
    <mergeCell ref="D84:D85"/>
    <mergeCell ref="L19:L20"/>
    <mergeCell ref="E39:E40"/>
    <mergeCell ref="B43:B44"/>
    <mergeCell ref="N107:P107"/>
    <mergeCell ref="B86:B87"/>
    <mergeCell ref="F63:J63"/>
    <mergeCell ref="D86:D87"/>
    <mergeCell ref="S23:S24"/>
    <mergeCell ref="S66:S67"/>
    <mergeCell ref="R70:R71"/>
    <mergeCell ref="T21:T22"/>
    <mergeCell ref="K90:K91"/>
    <mergeCell ref="L45:L46"/>
    <mergeCell ref="S68:S69"/>
    <mergeCell ref="K82:K83"/>
    <mergeCell ref="T11:T12"/>
    <mergeCell ref="R96:R97"/>
    <mergeCell ref="T96:T97"/>
    <mergeCell ref="L96:L97"/>
    <mergeCell ref="C86:C87"/>
    <mergeCell ref="T27:T28"/>
    <mergeCell ref="T98:T99"/>
    <mergeCell ref="L80:L81"/>
    <mergeCell ref="K37:K38"/>
    <mergeCell ref="S4:T4"/>
    <mergeCell ref="C98:C99"/>
    <mergeCell ref="F54:G54"/>
    <mergeCell ref="E64:E65"/>
    <mergeCell ref="K72:K73"/>
    <mergeCell ref="T9:T10"/>
    <mergeCell ref="L33:L34"/>
    <mergeCell ref="A57:U57"/>
    <mergeCell ref="R17:R18"/>
    <mergeCell ref="T17:T18"/>
    <mergeCell ref="L35:L36"/>
    <mergeCell ref="L84:L85"/>
    <mergeCell ref="K17:K18"/>
    <mergeCell ref="S74:S75"/>
    <mergeCell ref="C17:C18"/>
    <mergeCell ref="C82:C83"/>
    <mergeCell ref="D102:D103"/>
    <mergeCell ref="L86:L87"/>
    <mergeCell ref="K19:K20"/>
    <mergeCell ref="S76:S77"/>
    <mergeCell ref="C19:C20"/>
    <mergeCell ref="D39:D40"/>
    <mergeCell ref="S88:S89"/>
    <mergeCell ref="T37:T38"/>
    <mergeCell ref="S11:S12"/>
    <mergeCell ref="T45:T46"/>
    <mergeCell ref="H52:J52"/>
    <mergeCell ref="H108:J108"/>
    <mergeCell ref="K45:K46"/>
    <mergeCell ref="T68:T69"/>
    <mergeCell ref="B82:B83"/>
    <mergeCell ref="K11:K12"/>
    <mergeCell ref="K47:K48"/>
    <mergeCell ref="K96:K97"/>
    <mergeCell ref="C70:C71"/>
    <mergeCell ref="B9:B10"/>
    <mergeCell ref="E70:E71"/>
    <mergeCell ref="K98:K99"/>
    <mergeCell ref="L41:L42"/>
    <mergeCell ref="S64:S65"/>
    <mergeCell ref="E80:E81"/>
    <mergeCell ref="C78:C79"/>
    <mergeCell ref="T19:T20"/>
    <mergeCell ref="R92:R93"/>
    <mergeCell ref="M59:O59"/>
    <mergeCell ref="T33:T34"/>
    <mergeCell ref="K51:M51"/>
    <mergeCell ref="B72:B73"/>
    <mergeCell ref="S96:S97"/>
    <mergeCell ref="K33:K34"/>
    <mergeCell ref="S90:S91"/>
    <mergeCell ref="C33:C34"/>
    <mergeCell ref="B70:B71"/>
    <mergeCell ref="S17:S18"/>
    <mergeCell ref="E33:E34"/>
    <mergeCell ref="D70:D71"/>
    <mergeCell ref="R94:R95"/>
    <mergeCell ref="H4:I4"/>
    <mergeCell ref="L102:L103"/>
    <mergeCell ref="K41:K42"/>
    <mergeCell ref="K35:K36"/>
    <mergeCell ref="C35:C36"/>
    <mergeCell ref="K84:K85"/>
    <mergeCell ref="S19:S20"/>
    <mergeCell ref="E35:E36"/>
    <mergeCell ref="B88:B89"/>
    <mergeCell ref="F104:G104"/>
    <mergeCell ref="K86:K87"/>
    <mergeCell ref="R76:R77"/>
    <mergeCell ref="B19:B20"/>
    <mergeCell ref="T76:T77"/>
    <mergeCell ref="F106:G106"/>
    <mergeCell ref="C13:C14"/>
    <mergeCell ref="S45:S46"/>
    <mergeCell ref="K25:K26"/>
    <mergeCell ref="S72:S73"/>
    <mergeCell ref="C15:C16"/>
    <mergeCell ref="S47:S48"/>
    <mergeCell ref="M63:Q63"/>
    <mergeCell ref="R29:R30"/>
    <mergeCell ref="C92:C93"/>
    <mergeCell ref="E92:E93"/>
    <mergeCell ref="S86:S87"/>
    <mergeCell ref="C29:C30"/>
    <mergeCell ref="R31:R32"/>
    <mergeCell ref="C94:C95"/>
    <mergeCell ref="E23:E24"/>
    <mergeCell ref="T35:T36"/>
    <mergeCell ref="B13:B14"/>
    <mergeCell ref="E74:E75"/>
    <mergeCell ref="D13:D14"/>
    <mergeCell ref="S98:S99"/>
    <mergeCell ref="C41:C42"/>
    <mergeCell ref="T64:T65"/>
    <mergeCell ref="B78:B79"/>
    <mergeCell ref="D78:D79"/>
    <mergeCell ref="L39:L40"/>
    <mergeCell ref="R72:R73"/>
    <mergeCell ref="B15:B16"/>
    <mergeCell ref="K43:K44"/>
    <mergeCell ref="D15:D16"/>
    <mergeCell ref="T72:T73"/>
    <mergeCell ref="C43:C44"/>
    <mergeCell ref="E76:E77"/>
    <mergeCell ref="B80:B81"/>
    <mergeCell ref="S33:S34"/>
    <mergeCell ref="K108:M108"/>
    <mergeCell ref="S35:S36"/>
    <mergeCell ref="R88:R89"/>
    <mergeCell ref="E21:E22"/>
    <mergeCell ref="R82:R83"/>
    <mergeCell ref="B25:B26"/>
    <mergeCell ref="N106:P106"/>
    <mergeCell ref="T82:T83"/>
    <mergeCell ref="F107:G107"/>
    <mergeCell ref="L82:L83"/>
    <mergeCell ref="R98:R99"/>
    <mergeCell ref="K29:K30"/>
    <mergeCell ref="B35:B36"/>
    <mergeCell ref="R19:R20"/>
    <mergeCell ref="K109:M109"/>
    <mergeCell ref="C100:C101"/>
    <mergeCell ref="C31:C32"/>
    <mergeCell ref="E31:E32"/>
    <mergeCell ref="R45:R46"/>
    <mergeCell ref="B84:B85"/>
    <mergeCell ref="M4:O4"/>
    <mergeCell ref="D25:D26"/>
    <mergeCell ref="R47:R48"/>
    <mergeCell ref="L72:L73"/>
    <mergeCell ref="B92:B93"/>
    <mergeCell ref="L70:L71"/>
    <mergeCell ref="B94:B95"/>
    <mergeCell ref="D23:D24"/>
    <mergeCell ref="S41:S42"/>
    <mergeCell ref="D94:D95"/>
    <mergeCell ref="B31:B32"/>
    <mergeCell ref="S43:S44"/>
    <mergeCell ref="E29:E30"/>
    <mergeCell ref="D76:D77"/>
    <mergeCell ref="R27:R28"/>
    <mergeCell ref="C80:C81"/>
    <mergeCell ref="K70:K71"/>
    <mergeCell ref="L25:L26"/>
    <mergeCell ref="T70:T71"/>
    <mergeCell ref="R35:R36"/>
    <mergeCell ref="T84:T85"/>
    <mergeCell ref="D92:D93"/>
    <mergeCell ref="E72:E73"/>
    <mergeCell ref="C39:C40"/>
    <mergeCell ref="H53:J53"/>
    <mergeCell ref="T86:T87"/>
    <mergeCell ref="D29:D30"/>
    <mergeCell ref="R9:R10"/>
    <mergeCell ref="D31:D32"/>
    <mergeCell ref="F49:G49"/>
    <mergeCell ref="R11:R12"/>
    <mergeCell ref="E96:E97"/>
    <mergeCell ref="B100:B101"/>
    <mergeCell ref="E17:E18"/>
    <mergeCell ref="L13:L14"/>
    <mergeCell ref="L78:L79"/>
    <mergeCell ref="N52:P52"/>
    <mergeCell ref="E98:E99"/>
    <mergeCell ref="B102:B103"/>
    <mergeCell ref="E19:E20"/>
    <mergeCell ref="L15:L16"/>
    <mergeCell ref="B39:B40"/>
    <mergeCell ref="L92:L93"/>
    <mergeCell ref="K107:M107"/>
    <mergeCell ref="S82:S83"/>
    <mergeCell ref="C25:C26"/>
    <mergeCell ref="S9:S10"/>
    <mergeCell ref="R37:R38"/>
    <mergeCell ref="L23:L24"/>
    <mergeCell ref="R66:R67"/>
    <mergeCell ref="R41:R42"/>
    <mergeCell ref="K13:K14"/>
    <mergeCell ref="H106:J106"/>
    <mergeCell ref="E45:E46"/>
    <mergeCell ref="K78:K79"/>
    <mergeCell ref="R68:R69"/>
    <mergeCell ref="F52:G52"/>
    <mergeCell ref="D19:D20"/>
    <mergeCell ref="R43:R44"/>
    <mergeCell ref="T43:T44"/>
    <mergeCell ref="E47:E48"/>
    <mergeCell ref="K54:M54"/>
    <mergeCell ref="D100:D101"/>
    <mergeCell ref="F53:G53"/>
    <mergeCell ref="D45:D46"/>
    <mergeCell ref="R25:R26"/>
    <mergeCell ref="T25:T26"/>
    <mergeCell ref="D72:D73"/>
    <mergeCell ref="D47:D48"/>
    <mergeCell ref="T41:T42"/>
    <mergeCell ref="L100:L101"/>
    <mergeCell ref="C66:C67"/>
    <mergeCell ref="L94:L95"/>
    <mergeCell ref="T13:T14"/>
    <mergeCell ref="E41:E42"/>
    <mergeCell ref="L31:L32"/>
    <mergeCell ref="T15:T16"/>
    <mergeCell ref="D98:D99"/>
    <mergeCell ref="S25:S26"/>
    <mergeCell ref="K15:K16"/>
    <mergeCell ref="K80:K81"/>
    <mergeCell ref="B27:B28"/>
    <mergeCell ref="H51:J51"/>
    <mergeCell ref="K92:K93"/>
    <mergeCell ref="D27:D28"/>
    <mergeCell ref="S59:T59"/>
    <mergeCell ref="S70:S71"/>
    <mergeCell ref="K94:K95"/>
    <mergeCell ref="L29:L30"/>
    <mergeCell ref="D9:D10"/>
    <mergeCell ref="S80:S81"/>
    <mergeCell ref="E66:E67"/>
    <mergeCell ref="C102:C103"/>
    <mergeCell ref="C74:C75"/>
    <mergeCell ref="R64:R65"/>
    <mergeCell ref="C68:C69"/>
    <mergeCell ref="E68:E69"/>
    <mergeCell ref="T29:T30"/>
    <mergeCell ref="E82:E83"/>
    <mergeCell ref="K100:K101"/>
    <mergeCell ref="A2:U2"/>
    <mergeCell ref="S13:S14"/>
    <mergeCell ref="D66:D67"/>
    <mergeCell ref="S84:S85"/>
    <mergeCell ref="S78:S79"/>
    <mergeCell ref="C21:C22"/>
    <mergeCell ref="E94:E95"/>
    <mergeCell ref="D41:D42"/>
    <mergeCell ref="K31:K32"/>
    <mergeCell ref="K102:K103"/>
    <mergeCell ref="B68:B69"/>
    <mergeCell ref="S15:S16"/>
    <mergeCell ref="D68:D69"/>
    <mergeCell ref="C23:C24"/>
    <mergeCell ref="D43:D44"/>
    <mergeCell ref="C64:C65"/>
    <mergeCell ref="R78:R79"/>
    <mergeCell ref="B21:B22"/>
    <mergeCell ref="K21:K22"/>
    <mergeCell ref="T47:T48"/>
    <mergeCell ref="L47:L48"/>
    <mergeCell ref="C88:C89"/>
    <mergeCell ref="R90:R91"/>
    <mergeCell ref="C9:C10"/>
    <mergeCell ref="E9:E10"/>
    <mergeCell ref="H59:I59"/>
    <mergeCell ref="C90:C91"/>
    <mergeCell ref="E90:E91"/>
    <mergeCell ref="C11:C12"/>
    <mergeCell ref="E11:E12"/>
    <mergeCell ref="K39:K40"/>
    <mergeCell ref="B74:B75"/>
    <mergeCell ref="D74:D75"/>
    <mergeCell ref="S92:S93"/>
    <mergeCell ref="L27:L28"/>
    <mergeCell ref="B76:B77"/>
    <mergeCell ref="D82:D83"/>
    <mergeCell ref="S29:S30"/>
    <mergeCell ref="S100:S101"/>
    <mergeCell ref="S94:S95"/>
    <mergeCell ref="C37:C38"/>
    <mergeCell ref="S21:S22"/>
    <mergeCell ref="E37:E38"/>
    <mergeCell ref="S31:S32"/>
  </mergeCells>
  <conditionalFormatting sqref="F12">
    <cfRule type="cellIs" priority="275" operator="notBetween" dxfId="1" stopIfTrue="1">
      <formula>F$11-$S$11</formula>
      <formula>F$11+$S$11</formula>
    </cfRule>
    <cfRule type="cellIs" priority="276" operator="notBetween" dxfId="0" stopIfTrue="1">
      <formula>F$11-$S$11*0.8</formula>
      <formula>F$11+$S$11*0.8</formula>
    </cfRule>
  </conditionalFormatting>
  <conditionalFormatting sqref="G12:J12">
    <cfRule type="cellIs" priority="273" operator="notBetween" dxfId="1" stopIfTrue="1">
      <formula>G$11-$S$11</formula>
      <formula>G$11+$S$11</formula>
    </cfRule>
    <cfRule type="cellIs" priority="274" operator="notBetween" dxfId="0" stopIfTrue="1">
      <formula>G$11-$S$11*0.8</formula>
      <formula>G$11+$S$11*0.8</formula>
    </cfRule>
  </conditionalFormatting>
  <conditionalFormatting sqref="M12">
    <cfRule type="cellIs" priority="271" operator="notBetween" dxfId="1" stopIfTrue="1">
      <formula>M$11-$S$11</formula>
      <formula>M$11+$S$11</formula>
    </cfRule>
    <cfRule type="cellIs" priority="272" operator="notBetween" dxfId="0" stopIfTrue="1">
      <formula>M$11-$S$11*0.8</formula>
      <formula>M$11+$S$11*0.8</formula>
    </cfRule>
  </conditionalFormatting>
  <conditionalFormatting sqref="N12:Q12">
    <cfRule type="cellIs" priority="269" operator="notBetween" dxfId="1" stopIfTrue="1">
      <formula>N$11-$S$11</formula>
      <formula>N$11+$S$11</formula>
    </cfRule>
    <cfRule type="cellIs" priority="270" operator="notBetween" dxfId="0" stopIfTrue="1">
      <formula>N$11-$S$11*0.8</formula>
      <formula>N$11+$S$11*0.8</formula>
    </cfRule>
  </conditionalFormatting>
  <conditionalFormatting sqref="F14">
    <cfRule type="cellIs" priority="267" operator="notBetween" dxfId="1" stopIfTrue="1">
      <formula>F$13-$S$13</formula>
      <formula>F$13+$S$13</formula>
    </cfRule>
    <cfRule type="cellIs" priority="268" operator="notBetween" dxfId="0" stopIfTrue="1">
      <formula>F$13-$S$13*0.8</formula>
      <formula>F$13+$S$13*0.8</formula>
    </cfRule>
  </conditionalFormatting>
  <conditionalFormatting sqref="G14:J14">
    <cfRule type="cellIs" priority="265" operator="notBetween" dxfId="1" stopIfTrue="1">
      <formula>G$13-$S$13</formula>
      <formula>G$13+$S$13</formula>
    </cfRule>
    <cfRule type="cellIs" priority="266" operator="notBetween" dxfId="0" stopIfTrue="1">
      <formula>G$13-$S$13*0.8</formula>
      <formula>G$13+$S$13*0.8</formula>
    </cfRule>
  </conditionalFormatting>
  <conditionalFormatting sqref="M14">
    <cfRule type="cellIs" priority="263" operator="notBetween" dxfId="1" stopIfTrue="1">
      <formula>M$13-$S$13</formula>
      <formula>M$13+$S$13</formula>
    </cfRule>
    <cfRule type="cellIs" priority="264" operator="notBetween" dxfId="0" stopIfTrue="1">
      <formula>M$13-$S$13*0.8</formula>
      <formula>M$13+$S$13*0.8</formula>
    </cfRule>
  </conditionalFormatting>
  <conditionalFormatting sqref="F16">
    <cfRule type="cellIs" priority="259" operator="notBetween" dxfId="1" stopIfTrue="1">
      <formula>F$15-$S$15</formula>
      <formula>F$15+$S$15</formula>
    </cfRule>
    <cfRule type="cellIs" priority="260" operator="notBetween" dxfId="0" stopIfTrue="1">
      <formula>F$15-$S$15*0.8</formula>
      <formula>F$15+$S$15*0.8</formula>
    </cfRule>
  </conditionalFormatting>
  <conditionalFormatting sqref="G16:J16">
    <cfRule type="cellIs" priority="257" operator="notBetween" dxfId="1" stopIfTrue="1">
      <formula>G$15-$S$15</formula>
      <formula>G$15+$S$15</formula>
    </cfRule>
    <cfRule type="cellIs" priority="258" operator="notBetween" dxfId="0" stopIfTrue="1">
      <formula>G$15-$S$15*0.8</formula>
      <formula>G$15+$S$15*0.8</formula>
    </cfRule>
  </conditionalFormatting>
  <conditionalFormatting sqref="M16">
    <cfRule type="cellIs" priority="255" operator="notBetween" dxfId="1" stopIfTrue="1">
      <formula>M$15-$S$15</formula>
      <formula>M$15+$S$15</formula>
    </cfRule>
    <cfRule type="cellIs" priority="256" operator="notBetween" dxfId="0" stopIfTrue="1">
      <formula>M$15-$S$15*0.8</formula>
      <formula>M$15+$S$15*0.8</formula>
    </cfRule>
  </conditionalFormatting>
  <conditionalFormatting sqref="N16:Q16">
    <cfRule type="cellIs" priority="253" operator="notBetween" dxfId="1" stopIfTrue="1">
      <formula>N$15-$S$15</formula>
      <formula>N$15+$S$15</formula>
    </cfRule>
    <cfRule type="cellIs" priority="254" operator="notBetween" dxfId="0" stopIfTrue="1">
      <formula>N$15-$S$15*0.8</formula>
      <formula>N$15+$S$15*0.8</formula>
    </cfRule>
  </conditionalFormatting>
  <conditionalFormatting sqref="F18:J18">
    <cfRule type="cellIs" priority="251" operator="notBetween" dxfId="1" stopIfTrue="1">
      <formula>F$17-$S$17</formula>
      <formula>F$17+$S$17</formula>
    </cfRule>
    <cfRule type="cellIs" priority="252" operator="notBetween" dxfId="0" stopIfTrue="1">
      <formula>F$17-$S$17*0.8</formula>
      <formula>F$17+$S$17*0.8</formula>
    </cfRule>
  </conditionalFormatting>
  <conditionalFormatting sqref="K9:K18">
    <cfRule type="containsText" priority="243" operator="containsText" dxfId="140" text="Fail">
      <formula>NOT(ISERROR(SEARCH("Fail",K9)))</formula>
    </cfRule>
    <cfRule type="containsText" priority="250" operator="containsText" dxfId="139" text="Pass">
      <formula>NOT(ISERROR(SEARCH("Pass",K9)))</formula>
    </cfRule>
  </conditionalFormatting>
  <conditionalFormatting sqref="F10:J10">
    <cfRule type="cellIs" priority="248" operator="notBetween" dxfId="1" stopIfTrue="1">
      <formula>F$9-$S$9</formula>
      <formula>F$9+$S$9</formula>
    </cfRule>
    <cfRule type="cellIs" priority="249" operator="notBetween" dxfId="0" stopIfTrue="1">
      <formula>F$9-$S$9*0.8</formula>
      <formula>F$9+$S$9*0.8</formula>
    </cfRule>
  </conditionalFormatting>
  <conditionalFormatting sqref="M10:Q10">
    <cfRule type="cellIs" priority="246" operator="notBetween" dxfId="1" stopIfTrue="1">
      <formula>M$9-$S$9</formula>
      <formula>M$9+$S$9</formula>
    </cfRule>
    <cfRule type="cellIs" priority="247" operator="notBetween" dxfId="0" stopIfTrue="1">
      <formula>M$9-$S$9*0.8</formula>
      <formula>M$9+$S$9*0.8</formula>
    </cfRule>
  </conditionalFormatting>
  <conditionalFormatting sqref="M14:Q14">
    <cfRule type="cellIs" priority="261" operator="notBetween" dxfId="1" stopIfTrue="1">
      <formula>M$13-$S$13</formula>
      <formula>M$13+$S$13</formula>
    </cfRule>
    <cfRule type="cellIs" priority="262" operator="notBetween" dxfId="0" stopIfTrue="1">
      <formula>M$13-$S$13*0.8</formula>
      <formula>M$13+$S$13*0.8</formula>
    </cfRule>
  </conditionalFormatting>
  <conditionalFormatting sqref="M18:Q18">
    <cfRule type="cellIs" priority="244" operator="notBetween" dxfId="1" stopIfTrue="1">
      <formula>M$17-$S$17</formula>
      <formula>M$17+$S$17</formula>
    </cfRule>
    <cfRule type="cellIs" priority="245" operator="notBetween" dxfId="0" stopIfTrue="1">
      <formula>M$17-$S$17*0.8</formula>
      <formula>M$17+$S$17*0.8</formula>
    </cfRule>
  </conditionalFormatting>
  <conditionalFormatting sqref="F20:J20">
    <cfRule type="cellIs" priority="241" operator="notBetween" dxfId="1" stopIfTrue="1">
      <formula>F$17-$S$17</formula>
      <formula>F$17+$S$17</formula>
    </cfRule>
    <cfRule type="cellIs" priority="242" operator="notBetween" dxfId="0" stopIfTrue="1">
      <formula>F$17-$S$17*0.8</formula>
      <formula>F$17+$S$17*0.8</formula>
    </cfRule>
  </conditionalFormatting>
  <conditionalFormatting sqref="K19:K20">
    <cfRule type="containsText" priority="237" operator="containsText" dxfId="140" text="Fail">
      <formula>NOT(ISERROR(SEARCH("Fail",K19)))</formula>
    </cfRule>
    <cfRule type="containsText" priority="240" operator="containsText" dxfId="139" text="Pass">
      <formula>NOT(ISERROR(SEARCH("Pass",K19)))</formula>
    </cfRule>
  </conditionalFormatting>
  <conditionalFormatting sqref="M20:Q20">
    <cfRule type="cellIs" priority="238" operator="notBetween" dxfId="1" stopIfTrue="1">
      <formula>M$17-$S$17</formula>
      <formula>M$17+$S$17</formula>
    </cfRule>
    <cfRule type="cellIs" priority="239" operator="notBetween" dxfId="0" stopIfTrue="1">
      <formula>M$17-$S$17*0.8</formula>
      <formula>M$17+$S$17*0.8</formula>
    </cfRule>
  </conditionalFormatting>
  <conditionalFormatting sqref="F22:J22">
    <cfRule type="cellIs" priority="235" operator="notBetween" dxfId="1" stopIfTrue="1">
      <formula>F$17-$S$17</formula>
      <formula>F$17+$S$17</formula>
    </cfRule>
    <cfRule type="cellIs" priority="236" operator="notBetween" dxfId="0" stopIfTrue="1">
      <formula>F$17-$S$17*0.8</formula>
      <formula>F$17+$S$17*0.8</formula>
    </cfRule>
  </conditionalFormatting>
  <conditionalFormatting sqref="K21:K22">
    <cfRule type="containsText" priority="231" operator="containsText" dxfId="140" text="Fail">
      <formula>NOT(ISERROR(SEARCH("Fail",K21)))</formula>
    </cfRule>
    <cfRule type="containsText" priority="234" operator="containsText" dxfId="139" text="Pass">
      <formula>NOT(ISERROR(SEARCH("Pass",K21)))</formula>
    </cfRule>
  </conditionalFormatting>
  <conditionalFormatting sqref="M22:Q22">
    <cfRule type="cellIs" priority="232" operator="notBetween" dxfId="1" stopIfTrue="1">
      <formula>M$17-$S$17</formula>
      <formula>M$17+$S$17</formula>
    </cfRule>
    <cfRule type="cellIs" priority="233" operator="notBetween" dxfId="0" stopIfTrue="1">
      <formula>M$17-$S$17*0.8</formula>
      <formula>M$17+$S$17*0.8</formula>
    </cfRule>
  </conditionalFormatting>
  <conditionalFormatting sqref="F24:J24">
    <cfRule type="cellIs" priority="229" operator="notBetween" dxfId="1" stopIfTrue="1">
      <formula>F$23-$S$23</formula>
      <formula>F$23+$S$23</formula>
    </cfRule>
    <cfRule type="cellIs" priority="230" operator="notBetween" dxfId="0" stopIfTrue="1">
      <formula>F$23-$S$23*0.8</formula>
      <formula>F$23+$S$23*0.8</formula>
    </cfRule>
  </conditionalFormatting>
  <conditionalFormatting sqref="K23:K24">
    <cfRule type="containsText" priority="225" operator="containsText" dxfId="140" text="Fail">
      <formula>NOT(ISERROR(SEARCH("Fail",K23)))</formula>
    </cfRule>
    <cfRule type="containsText" priority="228" operator="containsText" dxfId="139" text="Pass">
      <formula>NOT(ISERROR(SEARCH("Pass",K23)))</formula>
    </cfRule>
  </conditionalFormatting>
  <conditionalFormatting sqref="F26:J26">
    <cfRule type="cellIs" priority="223" operator="notBetween" dxfId="1" stopIfTrue="1">
      <formula>F$17-$S$17</formula>
      <formula>F$17+$S$17</formula>
    </cfRule>
    <cfRule type="cellIs" priority="224" operator="notBetween" dxfId="0" stopIfTrue="1">
      <formula>F$17-$S$17*0.8</formula>
      <formula>F$17+$S$17*0.8</formula>
    </cfRule>
  </conditionalFormatting>
  <conditionalFormatting sqref="K25:K26">
    <cfRule type="containsText" priority="219" operator="containsText" dxfId="140" text="Fail">
      <formula>NOT(ISERROR(SEARCH("Fail",K25)))</formula>
    </cfRule>
    <cfRule type="containsText" priority="222" operator="containsText" dxfId="139" text="Pass">
      <formula>NOT(ISERROR(SEARCH("Pass",K25)))</formula>
    </cfRule>
  </conditionalFormatting>
  <conditionalFormatting sqref="M26:Q26">
    <cfRule type="cellIs" priority="220" operator="notBetween" dxfId="1" stopIfTrue="1">
      <formula>M$17-$S$17</formula>
      <formula>M$17+$S$17</formula>
    </cfRule>
    <cfRule type="cellIs" priority="221" operator="notBetween" dxfId="0" stopIfTrue="1">
      <formula>M$17-$S$17*0.8</formula>
      <formula>M$17+$S$17*0.8</formula>
    </cfRule>
  </conditionalFormatting>
  <conditionalFormatting sqref="F28:J28">
    <cfRule type="cellIs" priority="217" operator="notBetween" dxfId="1" stopIfTrue="1">
      <formula>F$17-$S$17</formula>
      <formula>F$17+$S$17</formula>
    </cfRule>
    <cfRule type="cellIs" priority="218" operator="notBetween" dxfId="0" stopIfTrue="1">
      <formula>F$17-$S$17*0.8</formula>
      <formula>F$17+$S$17*0.8</formula>
    </cfRule>
  </conditionalFormatting>
  <conditionalFormatting sqref="K27:K28">
    <cfRule type="containsText" priority="213" operator="containsText" dxfId="140" text="Fail">
      <formula>NOT(ISERROR(SEARCH("Fail",K27)))</formula>
    </cfRule>
    <cfRule type="containsText" priority="216" operator="containsText" dxfId="139" text="Pass">
      <formula>NOT(ISERROR(SEARCH("Pass",K27)))</formula>
    </cfRule>
  </conditionalFormatting>
  <conditionalFormatting sqref="M28:Q28">
    <cfRule type="cellIs" priority="214" operator="notBetween" dxfId="1" stopIfTrue="1">
      <formula>M$17-$S$17</formula>
      <formula>M$17+$S$17</formula>
    </cfRule>
    <cfRule type="cellIs" priority="215" operator="notBetween" dxfId="0" stopIfTrue="1">
      <formula>M$17-$S$17*0.8</formula>
      <formula>M$17+$S$17*0.8</formula>
    </cfRule>
  </conditionalFormatting>
  <conditionalFormatting sqref="F30:J30">
    <cfRule type="cellIs" priority="211" operator="notBetween" dxfId="1" stopIfTrue="1">
      <formula>F$17-$S$17</formula>
      <formula>F$17+$S$17</formula>
    </cfRule>
    <cfRule type="cellIs" priority="212" operator="notBetween" dxfId="0" stopIfTrue="1">
      <formula>F$17-$S$17*0.8</formula>
      <formula>F$17+$S$17*0.8</formula>
    </cfRule>
  </conditionalFormatting>
  <conditionalFormatting sqref="K29:K30">
    <cfRule type="containsText" priority="207" operator="containsText" dxfId="140" text="Fail">
      <formula>NOT(ISERROR(SEARCH("Fail",K29)))</formula>
    </cfRule>
    <cfRule type="containsText" priority="210" operator="containsText" dxfId="139" text="Pass">
      <formula>NOT(ISERROR(SEARCH("Pass",K29)))</formula>
    </cfRule>
  </conditionalFormatting>
  <conditionalFormatting sqref="M30:Q30">
    <cfRule type="cellIs" priority="208" operator="notBetween" dxfId="1" stopIfTrue="1">
      <formula>M$17-$S$17</formula>
      <formula>M$17+$S$17</formula>
    </cfRule>
    <cfRule type="cellIs" priority="209" operator="notBetween" dxfId="0" stopIfTrue="1">
      <formula>M$17-$S$17*0.8</formula>
      <formula>M$17+$S$17*0.8</formula>
    </cfRule>
  </conditionalFormatting>
  <conditionalFormatting sqref="F32:J32">
    <cfRule type="cellIs" priority="205" operator="notBetween" dxfId="1" stopIfTrue="1">
      <formula>F$17-$S$17</formula>
      <formula>F$17+$S$17</formula>
    </cfRule>
    <cfRule type="cellIs" priority="206" operator="notBetween" dxfId="0" stopIfTrue="1">
      <formula>F$17-$S$17*0.8</formula>
      <formula>F$17+$S$17*0.8</formula>
    </cfRule>
  </conditionalFormatting>
  <conditionalFormatting sqref="K31:K32">
    <cfRule type="containsText" priority="201" operator="containsText" dxfId="140" text="Fail">
      <formula>NOT(ISERROR(SEARCH("Fail",K31)))</formula>
    </cfRule>
    <cfRule type="containsText" priority="204" operator="containsText" dxfId="139" text="Pass">
      <formula>NOT(ISERROR(SEARCH("Pass",K31)))</formula>
    </cfRule>
  </conditionalFormatting>
  <conditionalFormatting sqref="M32:Q32">
    <cfRule type="cellIs" priority="202" operator="notBetween" dxfId="1" stopIfTrue="1">
      <formula>M$17-$S$17</formula>
      <formula>M$17+$S$17</formula>
    </cfRule>
    <cfRule type="cellIs" priority="203" operator="notBetween" dxfId="0" stopIfTrue="1">
      <formula>M$17-$S$17*0.8</formula>
      <formula>M$17+$S$17*0.8</formula>
    </cfRule>
  </conditionalFormatting>
  <conditionalFormatting sqref="F34:J34">
    <cfRule type="cellIs" priority="199" operator="notBetween" dxfId="1" stopIfTrue="1">
      <formula>F$17-$S$17</formula>
      <formula>F$17+$S$17</formula>
    </cfRule>
    <cfRule type="cellIs" priority="200" operator="notBetween" dxfId="0" stopIfTrue="1">
      <formula>F$17-$S$17*0.8</formula>
      <formula>F$17+$S$17*0.8</formula>
    </cfRule>
  </conditionalFormatting>
  <conditionalFormatting sqref="K33:K34">
    <cfRule type="containsText" priority="195" operator="containsText" dxfId="140" text="Fail">
      <formula>NOT(ISERROR(SEARCH("Fail",K33)))</formula>
    </cfRule>
    <cfRule type="containsText" priority="198" operator="containsText" dxfId="139" text="Pass">
      <formula>NOT(ISERROR(SEARCH("Pass",K33)))</formula>
    </cfRule>
  </conditionalFormatting>
  <conditionalFormatting sqref="M34:Q34">
    <cfRule type="cellIs" priority="196" operator="notBetween" dxfId="1" stopIfTrue="1">
      <formula>M$17-$S$17</formula>
      <formula>M$17+$S$17</formula>
    </cfRule>
    <cfRule type="cellIs" priority="197" operator="notBetween" dxfId="0" stopIfTrue="1">
      <formula>M$17-$S$17*0.8</formula>
      <formula>M$17+$S$17*0.8</formula>
    </cfRule>
  </conditionalFormatting>
  <conditionalFormatting sqref="F36:J36">
    <cfRule type="cellIs" priority="193" operator="notBetween" dxfId="1" stopIfTrue="1">
      <formula>F$35-$S$35</formula>
      <formula>F$35+$S$35</formula>
    </cfRule>
    <cfRule type="cellIs" priority="194" operator="notBetween" dxfId="0" stopIfTrue="1">
      <formula>F$35-$S$35*0.8</formula>
      <formula>F$35+$S$35*0.8</formula>
    </cfRule>
  </conditionalFormatting>
  <conditionalFormatting sqref="K35:K36">
    <cfRule type="containsText" priority="189" operator="containsText" dxfId="140" text="Fail">
      <formula>NOT(ISERROR(SEARCH("Fail",K35)))</formula>
    </cfRule>
    <cfRule type="containsText" priority="192" operator="containsText" dxfId="139" text="Pass">
      <formula>NOT(ISERROR(SEARCH("Pass",K35)))</formula>
    </cfRule>
  </conditionalFormatting>
  <conditionalFormatting sqref="M36:Q36">
    <cfRule type="cellIs" priority="190" operator="notBetween" dxfId="1" stopIfTrue="1">
      <formula>M$17-$S$17</formula>
      <formula>M$17+$S$17</formula>
    </cfRule>
    <cfRule type="cellIs" priority="191" operator="notBetween" dxfId="0" stopIfTrue="1">
      <formula>M$17-$S$17*0.8</formula>
      <formula>M$17+$S$17*0.8</formula>
    </cfRule>
  </conditionalFormatting>
  <conditionalFormatting sqref="K37:K38">
    <cfRule type="containsText" priority="183" operator="containsText" dxfId="140" text="Fail">
      <formula>NOT(ISERROR(SEARCH("Fail",K37)))</formula>
    </cfRule>
    <cfRule type="containsText" priority="186" operator="containsText" dxfId="139" text="Pass">
      <formula>NOT(ISERROR(SEARCH("Pass",K37)))</formula>
    </cfRule>
  </conditionalFormatting>
  <conditionalFormatting sqref="M38:Q38">
    <cfRule type="cellIs" priority="184" operator="notBetween" dxfId="1" stopIfTrue="1">
      <formula>M$17-$S$17</formula>
      <formula>M$17+$S$17</formula>
    </cfRule>
    <cfRule type="cellIs" priority="185" operator="notBetween" dxfId="0" stopIfTrue="1">
      <formula>M$17-$S$17*0.8</formula>
      <formula>M$17+$S$17*0.8</formula>
    </cfRule>
  </conditionalFormatting>
  <conditionalFormatting sqref="F40:J40">
    <cfRule type="cellIs" priority="181" operator="notBetween" dxfId="1" stopIfTrue="1">
      <formula>F$17-$S$17</formula>
      <formula>F$17+$S$17</formula>
    </cfRule>
    <cfRule type="cellIs" priority="182" operator="notBetween" dxfId="0" stopIfTrue="1">
      <formula>F$17-$S$17*0.8</formula>
      <formula>F$17+$S$17*0.8</formula>
    </cfRule>
  </conditionalFormatting>
  <conditionalFormatting sqref="K39:K40">
    <cfRule type="containsText" priority="177" operator="containsText" dxfId="140" text="Fail">
      <formula>NOT(ISERROR(SEARCH("Fail",K39)))</formula>
    </cfRule>
    <cfRule type="containsText" priority="180" operator="containsText" dxfId="139" text="Pass">
      <formula>NOT(ISERROR(SEARCH("Pass",K39)))</formula>
    </cfRule>
  </conditionalFormatting>
  <conditionalFormatting sqref="M40:Q40">
    <cfRule type="cellIs" priority="178" operator="notBetween" dxfId="1" stopIfTrue="1">
      <formula>M$17-$S$17</formula>
      <formula>M$17+$S$17</formula>
    </cfRule>
    <cfRule type="cellIs" priority="179" operator="notBetween" dxfId="0" stopIfTrue="1">
      <formula>M$17-$S$17*0.8</formula>
      <formula>M$17+$S$17*0.8</formula>
    </cfRule>
  </conditionalFormatting>
  <conditionalFormatting sqref="F42:J42">
    <cfRule type="cellIs" priority="175" operator="notBetween" dxfId="1" stopIfTrue="1">
      <formula>F$17-$S$17</formula>
      <formula>F$17+$S$17</formula>
    </cfRule>
    <cfRule type="cellIs" priority="176" operator="notBetween" dxfId="0" stopIfTrue="1">
      <formula>F$17-$S$17*0.8</formula>
      <formula>F$17+$S$17*0.8</formula>
    </cfRule>
  </conditionalFormatting>
  <conditionalFormatting sqref="K41:K42">
    <cfRule type="containsText" priority="171" operator="containsText" dxfId="140" text="Fail">
      <formula>NOT(ISERROR(SEARCH("Fail",K41)))</formula>
    </cfRule>
    <cfRule type="containsText" priority="174" operator="containsText" dxfId="139" text="Pass">
      <formula>NOT(ISERROR(SEARCH("Pass",K41)))</formula>
    </cfRule>
  </conditionalFormatting>
  <conditionalFormatting sqref="M42:Q42">
    <cfRule type="cellIs" priority="172" operator="notBetween" dxfId="1" stopIfTrue="1">
      <formula>M$17-$S$17</formula>
      <formula>M$17+$S$17</formula>
    </cfRule>
    <cfRule type="cellIs" priority="173" operator="notBetween" dxfId="0" stopIfTrue="1">
      <formula>M$17-$S$17*0.8</formula>
      <formula>M$17+$S$17*0.8</formula>
    </cfRule>
  </conditionalFormatting>
  <conditionalFormatting sqref="F44:J44">
    <cfRule type="cellIs" priority="169" operator="notBetween" dxfId="1" stopIfTrue="1">
      <formula>F$43-$S$43</formula>
      <formula>F$43+$S$43</formula>
    </cfRule>
    <cfRule type="cellIs" priority="170" operator="notBetween" dxfId="0" stopIfTrue="1">
      <formula>F$43-$S$43*0.8</formula>
      <formula>F$43+$S$43*0.8</formula>
    </cfRule>
  </conditionalFormatting>
  <conditionalFormatting sqref="K43:K44">
    <cfRule type="containsText" priority="165" operator="containsText" dxfId="140" text="Fail">
      <formula>NOT(ISERROR(SEARCH("Fail",K43)))</formula>
    </cfRule>
    <cfRule type="containsText" priority="168" operator="containsText" dxfId="139" text="Pass">
      <formula>NOT(ISERROR(SEARCH("Pass",K43)))</formula>
    </cfRule>
  </conditionalFormatting>
  <conditionalFormatting sqref="F46:J46">
    <cfRule type="cellIs" priority="163" operator="notBetween" dxfId="1" stopIfTrue="1">
      <formula>F$17-$S$17</formula>
      <formula>F$17+$S$17</formula>
    </cfRule>
    <cfRule type="cellIs" priority="164" operator="notBetween" dxfId="0" stopIfTrue="1">
      <formula>F$17-$S$17*0.8</formula>
      <formula>F$17+$S$17*0.8</formula>
    </cfRule>
  </conditionalFormatting>
  <conditionalFormatting sqref="K45:K46">
    <cfRule type="containsText" priority="159" operator="containsText" dxfId="140" text="Fail">
      <formula>NOT(ISERROR(SEARCH("Fail",K45)))</formula>
    </cfRule>
    <cfRule type="containsText" priority="162" operator="containsText" dxfId="139" text="Pass">
      <formula>NOT(ISERROR(SEARCH("Pass",K45)))</formula>
    </cfRule>
  </conditionalFormatting>
  <conditionalFormatting sqref="M46:Q46">
    <cfRule type="cellIs" priority="160" operator="notBetween" dxfId="1" stopIfTrue="1">
      <formula>M$17-$S$17</formula>
      <formula>M$17+$S$17</formula>
    </cfRule>
    <cfRule type="cellIs" priority="161" operator="notBetween" dxfId="0" stopIfTrue="1">
      <formula>M$17-$S$17*0.8</formula>
      <formula>M$17+$S$17*0.8</formula>
    </cfRule>
  </conditionalFormatting>
  <conditionalFormatting sqref="F48:J48">
    <cfRule type="cellIs" priority="157" operator="notBetween" dxfId="1" stopIfTrue="1">
      <formula>F$17-$S$17</formula>
      <formula>F$17+$S$17</formula>
    </cfRule>
    <cfRule type="cellIs" priority="158" operator="notBetween" dxfId="0" stopIfTrue="1">
      <formula>F$17-$S$17*0.8</formula>
      <formula>F$17+$S$17*0.8</formula>
    </cfRule>
  </conditionalFormatting>
  <conditionalFormatting sqref="K47:K48">
    <cfRule type="containsText" priority="153" operator="containsText" dxfId="140" text="Fail">
      <formula>NOT(ISERROR(SEARCH("Fail",K47)))</formula>
    </cfRule>
    <cfRule type="containsText" priority="156" operator="containsText" dxfId="139" text="Pass">
      <formula>NOT(ISERROR(SEARCH("Pass",K47)))</formula>
    </cfRule>
  </conditionalFormatting>
  <conditionalFormatting sqref="M48:Q48">
    <cfRule type="cellIs" priority="154" operator="notBetween" dxfId="1" stopIfTrue="1">
      <formula>M$47-$S$47</formula>
      <formula>M$47+$S$47</formula>
    </cfRule>
    <cfRule type="cellIs" priority="155" operator="notBetween" dxfId="0" stopIfTrue="1">
      <formula>M$47-$S$47*0.8</formula>
      <formula>M$47+$S$47*0.8</formula>
    </cfRule>
  </conditionalFormatting>
  <conditionalFormatting sqref="F67">
    <cfRule type="cellIs" priority="151" operator="notBetween" dxfId="1" stopIfTrue="1">
      <formula>F$66-$S$66</formula>
      <formula>F$66+$S$66</formula>
    </cfRule>
    <cfRule type="cellIs" priority="152" operator="notBetween" dxfId="0" stopIfTrue="1">
      <formula>F$66-$S$66*0.8</formula>
      <formula>F$66+$S$66*0.8</formula>
    </cfRule>
  </conditionalFormatting>
  <conditionalFormatting sqref="K64:K73">
    <cfRule type="containsText" priority="119" operator="containsText" dxfId="140" text="Fail">
      <formula>NOT(ISERROR(SEARCH("Fail",K64)))</formula>
    </cfRule>
    <cfRule type="containsText" priority="126" operator="containsText" dxfId="139" text="Pass">
      <formula>NOT(ISERROR(SEARCH("Pass",K64)))</formula>
    </cfRule>
  </conditionalFormatting>
  <conditionalFormatting sqref="F65:J65">
    <cfRule type="cellIs" priority="124" operator="notBetween" dxfId="1" stopIfTrue="1">
      <formula>F$64-$S$64</formula>
      <formula>F$64+$S$64</formula>
    </cfRule>
    <cfRule type="cellIs" priority="125" operator="notBetween" dxfId="0" stopIfTrue="1">
      <formula>F$64-$S$64*0.8</formula>
      <formula>F$64+$S$64*0.8</formula>
    </cfRule>
  </conditionalFormatting>
  <conditionalFormatting sqref="M73:Q73">
    <cfRule type="cellIs" priority="120" operator="notBetween" dxfId="1" stopIfTrue="1">
      <formula>M$17-$S$17</formula>
      <formula>M$17+$S$17</formula>
    </cfRule>
    <cfRule type="cellIs" priority="121" operator="notBetween" dxfId="0" stopIfTrue="1">
      <formula>M$17-$S$17*0.8</formula>
      <formula>M$17+$S$17*0.8</formula>
    </cfRule>
  </conditionalFormatting>
  <conditionalFormatting sqref="K74:K75">
    <cfRule type="containsText" priority="113" operator="containsText" dxfId="140" text="Fail">
      <formula>NOT(ISERROR(SEARCH("Fail",K74)))</formula>
    </cfRule>
    <cfRule type="containsText" priority="116" operator="containsText" dxfId="139" text="Pass">
      <formula>NOT(ISERROR(SEARCH("Pass",K74)))</formula>
    </cfRule>
  </conditionalFormatting>
  <conditionalFormatting sqref="F77:J77">
    <cfRule type="cellIs" priority="111" operator="notBetween" dxfId="1" stopIfTrue="1">
      <formula>F$17-$S$17</formula>
      <formula>F$17+$S$17</formula>
    </cfRule>
    <cfRule type="cellIs" priority="112" operator="notBetween" dxfId="0" stopIfTrue="1">
      <formula>F$17-$S$17*0.8</formula>
      <formula>F$17+$S$17*0.8</formula>
    </cfRule>
  </conditionalFormatting>
  <conditionalFormatting sqref="K76:K77">
    <cfRule type="containsText" priority="107" operator="containsText" dxfId="140" text="Fail">
      <formula>NOT(ISERROR(SEARCH("Fail",K76)))</formula>
    </cfRule>
    <cfRule type="containsText" priority="110" operator="containsText" dxfId="139" text="Pass">
      <formula>NOT(ISERROR(SEARCH("Pass",K76)))</formula>
    </cfRule>
  </conditionalFormatting>
  <conditionalFormatting sqref="M77:Q77">
    <cfRule type="cellIs" priority="108" operator="notBetween" dxfId="1" stopIfTrue="1">
      <formula>M$17-$S$17</formula>
      <formula>M$17+$S$17</formula>
    </cfRule>
    <cfRule type="cellIs" priority="109" operator="notBetween" dxfId="0" stopIfTrue="1">
      <formula>M$17-$S$17*0.8</formula>
      <formula>M$17+$S$17*0.8</formula>
    </cfRule>
  </conditionalFormatting>
  <conditionalFormatting sqref="F79:J79">
    <cfRule type="cellIs" priority="105" operator="notBetween" dxfId="1" stopIfTrue="1">
      <formula>F$17-$S$17</formula>
      <formula>F$17+$S$17</formula>
    </cfRule>
    <cfRule type="cellIs" priority="106" operator="notBetween" dxfId="0" stopIfTrue="1">
      <formula>F$17-$S$17*0.8</formula>
      <formula>F$17+$S$17*0.8</formula>
    </cfRule>
  </conditionalFormatting>
  <conditionalFormatting sqref="K78:K79">
    <cfRule type="containsText" priority="101" operator="containsText" dxfId="140" text="Fail">
      <formula>NOT(ISERROR(SEARCH("Fail",K78)))</formula>
    </cfRule>
    <cfRule type="containsText" priority="104" operator="containsText" dxfId="139" text="Pass">
      <formula>NOT(ISERROR(SEARCH("Pass",K78)))</formula>
    </cfRule>
  </conditionalFormatting>
  <conditionalFormatting sqref="M79:Q79">
    <cfRule type="cellIs" priority="102" operator="notBetween" dxfId="1" stopIfTrue="1">
      <formula>M$17-$S$17</formula>
      <formula>M$17+$S$17</formula>
    </cfRule>
    <cfRule type="cellIs" priority="103" operator="notBetween" dxfId="0" stopIfTrue="1">
      <formula>M$17-$S$17*0.8</formula>
      <formula>M$17+$S$17*0.8</formula>
    </cfRule>
  </conditionalFormatting>
  <conditionalFormatting sqref="F81:J81">
    <cfRule type="cellIs" priority="99" operator="notBetween" dxfId="1" stopIfTrue="1">
      <formula>F$17-$S$17</formula>
      <formula>F$17+$S$17</formula>
    </cfRule>
    <cfRule type="cellIs" priority="100" operator="notBetween" dxfId="0" stopIfTrue="1">
      <formula>F$17-$S$17*0.8</formula>
      <formula>F$17+$S$17*0.8</formula>
    </cfRule>
  </conditionalFormatting>
  <conditionalFormatting sqref="K80:K81">
    <cfRule type="containsText" priority="95" operator="containsText" dxfId="140" text="Fail">
      <formula>NOT(ISERROR(SEARCH("Fail",K80)))</formula>
    </cfRule>
    <cfRule type="containsText" priority="98" operator="containsText" dxfId="139" text="Pass">
      <formula>NOT(ISERROR(SEARCH("Pass",K80)))</formula>
    </cfRule>
  </conditionalFormatting>
  <conditionalFormatting sqref="M81:Q81">
    <cfRule type="cellIs" priority="96" operator="notBetween" dxfId="1" stopIfTrue="1">
      <formula>M$17-$S$17</formula>
      <formula>M$17+$S$17</formula>
    </cfRule>
    <cfRule type="cellIs" priority="97" operator="notBetween" dxfId="0" stopIfTrue="1">
      <formula>M$17-$S$17*0.8</formula>
      <formula>M$17+$S$17*0.8</formula>
    </cfRule>
  </conditionalFormatting>
  <conditionalFormatting sqref="F83:J83">
    <cfRule type="cellIs" priority="93" operator="notBetween" dxfId="1" stopIfTrue="1">
      <formula>F$17-$S$17</formula>
      <formula>F$17+$S$17</formula>
    </cfRule>
    <cfRule type="cellIs" priority="94" operator="notBetween" dxfId="0" stopIfTrue="1">
      <formula>F$17-$S$17*0.8</formula>
      <formula>F$17+$S$17*0.8</formula>
    </cfRule>
  </conditionalFormatting>
  <conditionalFormatting sqref="K82:K83">
    <cfRule type="containsText" priority="89" operator="containsText" dxfId="140" text="Fail">
      <formula>NOT(ISERROR(SEARCH("Fail",K82)))</formula>
    </cfRule>
    <cfRule type="containsText" priority="92" operator="containsText" dxfId="139" text="Pass">
      <formula>NOT(ISERROR(SEARCH("Pass",K82)))</formula>
    </cfRule>
  </conditionalFormatting>
  <conditionalFormatting sqref="M83:Q83">
    <cfRule type="cellIs" priority="90" operator="notBetween" dxfId="1" stopIfTrue="1">
      <formula>M$17-$S$17</formula>
      <formula>M$17+$S$17</formula>
    </cfRule>
    <cfRule type="cellIs" priority="91" operator="notBetween" dxfId="0" stopIfTrue="1">
      <formula>M$17-$S$17*0.8</formula>
      <formula>M$17+$S$17*0.8</formula>
    </cfRule>
  </conditionalFormatting>
  <conditionalFormatting sqref="F85:J85">
    <cfRule type="cellIs" priority="87" operator="notBetween" dxfId="1" stopIfTrue="1">
      <formula>F$17-$S$17</formula>
      <formula>F$17+$S$17</formula>
    </cfRule>
    <cfRule type="cellIs" priority="88" operator="notBetween" dxfId="0" stopIfTrue="1">
      <formula>F$17-$S$17*0.8</formula>
      <formula>F$17+$S$17*0.8</formula>
    </cfRule>
  </conditionalFormatting>
  <conditionalFormatting sqref="K84:K85">
    <cfRule type="containsText" priority="83" operator="containsText" dxfId="140" text="Fail">
      <formula>NOT(ISERROR(SEARCH("Fail",K84)))</formula>
    </cfRule>
    <cfRule type="containsText" priority="86" operator="containsText" dxfId="139" text="Pass">
      <formula>NOT(ISERROR(SEARCH("Pass",K84)))</formula>
    </cfRule>
  </conditionalFormatting>
  <conditionalFormatting sqref="M85:Q85">
    <cfRule type="cellIs" priority="84" operator="notBetween" dxfId="1" stopIfTrue="1">
      <formula>M$17-$S$17</formula>
      <formula>M$17+$S$17</formula>
    </cfRule>
    <cfRule type="cellIs" priority="85" operator="notBetween" dxfId="0" stopIfTrue="1">
      <formula>M$17-$S$17*0.8</formula>
      <formula>M$17+$S$17*0.8</formula>
    </cfRule>
  </conditionalFormatting>
  <conditionalFormatting sqref="F87:J87">
    <cfRule type="cellIs" priority="81" operator="notBetween" dxfId="1" stopIfTrue="1">
      <formula>F$17-$S$17</formula>
      <formula>F$17+$S$17</formula>
    </cfRule>
    <cfRule type="cellIs" priority="82" operator="notBetween" dxfId="0" stopIfTrue="1">
      <formula>F$17-$S$17*0.8</formula>
      <formula>F$17+$S$17*0.8</formula>
    </cfRule>
  </conditionalFormatting>
  <conditionalFormatting sqref="K86:K87">
    <cfRule type="containsText" priority="77" operator="containsText" dxfId="140" text="Fail">
      <formula>NOT(ISERROR(SEARCH("Fail",K86)))</formula>
    </cfRule>
    <cfRule type="containsText" priority="80" operator="containsText" dxfId="139" text="Pass">
      <formula>NOT(ISERROR(SEARCH("Pass",K86)))</formula>
    </cfRule>
  </conditionalFormatting>
  <conditionalFormatting sqref="M87:Q87">
    <cfRule type="cellIs" priority="78" operator="notBetween" dxfId="1" stopIfTrue="1">
      <formula>M$17-$S$17</formula>
      <formula>M$17+$S$17</formula>
    </cfRule>
    <cfRule type="cellIs" priority="79" operator="notBetween" dxfId="0" stopIfTrue="1">
      <formula>M$17-$S$17*0.8</formula>
      <formula>M$17+$S$17*0.8</formula>
    </cfRule>
  </conditionalFormatting>
  <conditionalFormatting sqref="F89:J89">
    <cfRule type="cellIs" priority="75" operator="notBetween" dxfId="1" stopIfTrue="1">
      <formula>F$17-$S$17</formula>
      <formula>F$17+$S$17</formula>
    </cfRule>
    <cfRule type="cellIs" priority="76" operator="notBetween" dxfId="0" stopIfTrue="1">
      <formula>F$17-$S$17*0.8</formula>
      <formula>F$17+$S$17*0.8</formula>
    </cfRule>
  </conditionalFormatting>
  <conditionalFormatting sqref="K88:K89">
    <cfRule type="containsText" priority="71" operator="containsText" dxfId="140" text="Fail">
      <formula>NOT(ISERROR(SEARCH("Fail",K88)))</formula>
    </cfRule>
    <cfRule type="containsText" priority="74" operator="containsText" dxfId="139" text="Pass">
      <formula>NOT(ISERROR(SEARCH("Pass",K88)))</formula>
    </cfRule>
  </conditionalFormatting>
  <conditionalFormatting sqref="M89:Q89">
    <cfRule type="cellIs" priority="72" operator="notBetween" dxfId="1" stopIfTrue="1">
      <formula>M$17-$S$17</formula>
      <formula>M$17+$S$17</formula>
    </cfRule>
    <cfRule type="cellIs" priority="73" operator="notBetween" dxfId="0" stopIfTrue="1">
      <formula>M$17-$S$17*0.8</formula>
      <formula>M$17+$S$17*0.8</formula>
    </cfRule>
  </conditionalFormatting>
  <conditionalFormatting sqref="F91:J91">
    <cfRule type="cellIs" priority="69" operator="notBetween" dxfId="1" stopIfTrue="1">
      <formula>F$17-$S$17</formula>
      <formula>F$17+$S$17</formula>
    </cfRule>
    <cfRule type="cellIs" priority="70" operator="notBetween" dxfId="0" stopIfTrue="1">
      <formula>F$17-$S$17*0.8</formula>
      <formula>F$17+$S$17*0.8</formula>
    </cfRule>
  </conditionalFormatting>
  <conditionalFormatting sqref="K90:K91">
    <cfRule type="containsText" priority="65" operator="containsText" dxfId="140" text="Fail">
      <formula>NOT(ISERROR(SEARCH("Fail",K90)))</formula>
    </cfRule>
    <cfRule type="containsText" priority="68" operator="containsText" dxfId="139" text="Pass">
      <formula>NOT(ISERROR(SEARCH("Pass",K90)))</formula>
    </cfRule>
  </conditionalFormatting>
  <conditionalFormatting sqref="M91:Q91">
    <cfRule type="cellIs" priority="66" operator="notBetween" dxfId="1" stopIfTrue="1">
      <formula>M$17-$S$17</formula>
      <formula>M$17+$S$17</formula>
    </cfRule>
    <cfRule type="cellIs" priority="67" operator="notBetween" dxfId="0" stopIfTrue="1">
      <formula>M$17-$S$17*0.8</formula>
      <formula>M$17+$S$17*0.8</formula>
    </cfRule>
  </conditionalFormatting>
  <conditionalFormatting sqref="F93:J93">
    <cfRule type="cellIs" priority="63" operator="notBetween" dxfId="1" stopIfTrue="1">
      <formula>F$17-$S$17</formula>
      <formula>F$17+$S$17</formula>
    </cfRule>
    <cfRule type="cellIs" priority="64" operator="notBetween" dxfId="0" stopIfTrue="1">
      <formula>F$17-$S$17*0.8</formula>
      <formula>F$17+$S$17*0.8</formula>
    </cfRule>
  </conditionalFormatting>
  <conditionalFormatting sqref="K92:K93">
    <cfRule type="containsText" priority="59" operator="containsText" dxfId="140" text="Fail">
      <formula>NOT(ISERROR(SEARCH("Fail",K92)))</formula>
    </cfRule>
    <cfRule type="containsText" priority="62" operator="containsText" dxfId="139" text="Pass">
      <formula>NOT(ISERROR(SEARCH("Pass",K92)))</formula>
    </cfRule>
  </conditionalFormatting>
  <conditionalFormatting sqref="M93:Q93">
    <cfRule type="cellIs" priority="60" operator="notBetween" dxfId="1" stopIfTrue="1">
      <formula>M$17-$S$17</formula>
      <formula>M$17+$S$17</formula>
    </cfRule>
    <cfRule type="cellIs" priority="61" operator="notBetween" dxfId="0" stopIfTrue="1">
      <formula>M$17-$S$17*0.8</formula>
      <formula>M$17+$S$17*0.8</formula>
    </cfRule>
  </conditionalFormatting>
  <conditionalFormatting sqref="F95:J95">
    <cfRule type="cellIs" priority="57" operator="notBetween" dxfId="1" stopIfTrue="1">
      <formula>F$17-$S$17</formula>
      <formula>F$17+$S$17</formula>
    </cfRule>
    <cfRule type="cellIs" priority="58" operator="notBetween" dxfId="0" stopIfTrue="1">
      <formula>F$17-$S$17*0.8</formula>
      <formula>F$17+$S$17*0.8</formula>
    </cfRule>
  </conditionalFormatting>
  <conditionalFormatting sqref="K94:K95">
    <cfRule type="containsText" priority="53" operator="containsText" dxfId="140" text="Fail">
      <formula>NOT(ISERROR(SEARCH("Fail",K94)))</formula>
    </cfRule>
    <cfRule type="containsText" priority="56" operator="containsText" dxfId="139" text="Pass">
      <formula>NOT(ISERROR(SEARCH("Pass",K94)))</formula>
    </cfRule>
  </conditionalFormatting>
  <conditionalFormatting sqref="M95:Q95">
    <cfRule type="cellIs" priority="54" operator="notBetween" dxfId="1" stopIfTrue="1">
      <formula>M$17-$S$17</formula>
      <formula>M$17+$S$17</formula>
    </cfRule>
    <cfRule type="cellIs" priority="55" operator="notBetween" dxfId="0" stopIfTrue="1">
      <formula>M$17-$S$17*0.8</formula>
      <formula>M$17+$S$17*0.8</formula>
    </cfRule>
  </conditionalFormatting>
  <conditionalFormatting sqref="F97:J97">
    <cfRule type="cellIs" priority="51" operator="notBetween" dxfId="1" stopIfTrue="1">
      <formula>F$17-$S$17</formula>
      <formula>F$17+$S$17</formula>
    </cfRule>
    <cfRule type="cellIs" priority="52" operator="notBetween" dxfId="0" stopIfTrue="1">
      <formula>F$17-$S$17*0.8</formula>
      <formula>F$17+$S$17*0.8</formula>
    </cfRule>
  </conditionalFormatting>
  <conditionalFormatting sqref="K96:K97">
    <cfRule type="containsText" priority="47" operator="containsText" dxfId="140" text="Fail">
      <formula>NOT(ISERROR(SEARCH("Fail",K96)))</formula>
    </cfRule>
    <cfRule type="containsText" priority="50" operator="containsText" dxfId="139" text="Pass">
      <formula>NOT(ISERROR(SEARCH("Pass",K96)))</formula>
    </cfRule>
  </conditionalFormatting>
  <conditionalFormatting sqref="M97:Q97">
    <cfRule type="cellIs" priority="48" operator="notBetween" dxfId="1" stopIfTrue="1">
      <formula>M$17-$S$17</formula>
      <formula>M$17+$S$17</formula>
    </cfRule>
    <cfRule type="cellIs" priority="49" operator="notBetween" dxfId="0" stopIfTrue="1">
      <formula>M$17-$S$17*0.8</formula>
      <formula>M$17+$S$17*0.8</formula>
    </cfRule>
  </conditionalFormatting>
  <conditionalFormatting sqref="F99:J99">
    <cfRule type="cellIs" priority="45" operator="notBetween" dxfId="1" stopIfTrue="1">
      <formula>F$17-$S$17</formula>
      <formula>F$17+$S$17</formula>
    </cfRule>
    <cfRule type="cellIs" priority="46" operator="notBetween" dxfId="0" stopIfTrue="1">
      <formula>F$17-$S$17*0.8</formula>
      <formula>F$17+$S$17*0.8</formula>
    </cfRule>
  </conditionalFormatting>
  <conditionalFormatting sqref="K98:K99">
    <cfRule type="containsText" priority="41" operator="containsText" dxfId="140" text="Fail">
      <formula>NOT(ISERROR(SEARCH("Fail",K98)))</formula>
    </cfRule>
    <cfRule type="containsText" priority="44" operator="containsText" dxfId="139" text="Pass">
      <formula>NOT(ISERROR(SEARCH("Pass",K98)))</formula>
    </cfRule>
  </conditionalFormatting>
  <conditionalFormatting sqref="M99:Q99">
    <cfRule type="cellIs" priority="42" operator="notBetween" dxfId="1" stopIfTrue="1">
      <formula>M$17-$S$17</formula>
      <formula>M$17+$S$17</formula>
    </cfRule>
    <cfRule type="cellIs" priority="43" operator="notBetween" dxfId="0" stopIfTrue="1">
      <formula>M$17-$S$17*0.8</formula>
      <formula>M$17+$S$17*0.8</formula>
    </cfRule>
  </conditionalFormatting>
  <conditionalFormatting sqref="F101:J101">
    <cfRule type="cellIs" priority="39" operator="notBetween" dxfId="1" stopIfTrue="1">
      <formula>F$17-$S$17</formula>
      <formula>F$17+$S$17</formula>
    </cfRule>
    <cfRule type="cellIs" priority="40" operator="notBetween" dxfId="0" stopIfTrue="1">
      <formula>F$17-$S$17*0.8</formula>
      <formula>F$17+$S$17*0.8</formula>
    </cfRule>
  </conditionalFormatting>
  <conditionalFormatting sqref="K100:K101">
    <cfRule type="containsText" priority="35" operator="containsText" dxfId="140" text="Fail">
      <formula>NOT(ISERROR(SEARCH("Fail",K100)))</formula>
    </cfRule>
    <cfRule type="containsText" priority="38" operator="containsText" dxfId="139" text="Pass">
      <formula>NOT(ISERROR(SEARCH("Pass",K100)))</formula>
    </cfRule>
  </conditionalFormatting>
  <conditionalFormatting sqref="M101:Q101">
    <cfRule type="cellIs" priority="36" operator="notBetween" dxfId="1" stopIfTrue="1">
      <formula>M$17-$S$17</formula>
      <formula>M$17+$S$17</formula>
    </cfRule>
    <cfRule type="cellIs" priority="37" operator="notBetween" dxfId="0" stopIfTrue="1">
      <formula>M$17-$S$17*0.8</formula>
      <formula>M$17+$S$17*0.8</formula>
    </cfRule>
  </conditionalFormatting>
  <conditionalFormatting sqref="F103:J103">
    <cfRule type="cellIs" priority="33" operator="notBetween" dxfId="1" stopIfTrue="1">
      <formula>F$17-$S$17</formula>
      <formula>F$17+$S$17</formula>
    </cfRule>
    <cfRule type="cellIs" priority="34" operator="notBetween" dxfId="0" stopIfTrue="1">
      <formula>F$17-$S$17*0.8</formula>
      <formula>F$17+$S$17*0.8</formula>
    </cfRule>
  </conditionalFormatting>
  <conditionalFormatting sqref="K102:K103">
    <cfRule type="containsText" priority="29" operator="containsText" dxfId="140" text="Fail">
      <formula>NOT(ISERROR(SEARCH("Fail",K102)))</formula>
    </cfRule>
    <cfRule type="containsText" priority="32" operator="containsText" dxfId="139" text="Pass">
      <formula>NOT(ISERROR(SEARCH("Pass",K102)))</formula>
    </cfRule>
  </conditionalFormatting>
  <conditionalFormatting sqref="M103:Q103">
    <cfRule type="cellIs" priority="30" operator="notBetween" dxfId="1" stopIfTrue="1">
      <formula>M$17-$S$17</formula>
      <formula>M$17+$S$17</formula>
    </cfRule>
    <cfRule type="cellIs" priority="31" operator="notBetween" dxfId="0" stopIfTrue="1">
      <formula>M$17-$S$17*0.8</formula>
      <formula>M$17+$S$17*0.8</formula>
    </cfRule>
  </conditionalFormatting>
  <conditionalFormatting sqref="M44:Q44">
    <cfRule type="cellIs" priority="27" operator="notBetween" dxfId="1" stopIfTrue="1">
      <formula>M$43-$S$43</formula>
      <formula>M$43+$S$43</formula>
    </cfRule>
    <cfRule type="cellIs" priority="28" operator="notBetween" dxfId="0" stopIfTrue="1">
      <formula>M$43-$S$43*0.8</formula>
      <formula>M$43+$S$43*0.8</formula>
    </cfRule>
  </conditionalFormatting>
  <conditionalFormatting sqref="M24:Q24">
    <cfRule type="cellIs" priority="25" operator="notBetween" dxfId="1" stopIfTrue="1">
      <formula>M$23-$S$23</formula>
      <formula>M$23+$S$23</formula>
    </cfRule>
    <cfRule type="cellIs" priority="26" operator="notBetween" dxfId="0" stopIfTrue="1">
      <formula>M$23-$S$23*0.8</formula>
      <formula>M$23+$S$23*0.8</formula>
    </cfRule>
  </conditionalFormatting>
  <conditionalFormatting sqref="F38:J38">
    <cfRule type="cellIs" priority="23" operator="notBetween" dxfId="1" stopIfTrue="1">
      <formula>F$35-$S$35</formula>
      <formula>F$35+$S$35</formula>
    </cfRule>
    <cfRule type="cellIs" priority="24" operator="notBetween" dxfId="0" stopIfTrue="1">
      <formula>F$35-$S$35*0.8</formula>
      <formula>F$35+$S$35*0.8</formula>
    </cfRule>
  </conditionalFormatting>
  <conditionalFormatting sqref="M65:Q65">
    <cfRule type="cellIs" priority="21" operator="notBetween" dxfId="1" stopIfTrue="1">
      <formula>M$64-$S$64</formula>
      <formula>M$64+$S$64</formula>
    </cfRule>
    <cfRule type="cellIs" priority="22" operator="notBetween" dxfId="0" stopIfTrue="1">
      <formula>M$64-$S$64*0.8</formula>
      <formula>M$64+$S$64*0.8</formula>
    </cfRule>
  </conditionalFormatting>
  <conditionalFormatting sqref="G67">
    <cfRule type="cellIs" priority="19" operator="notBetween" dxfId="1" stopIfTrue="1">
      <formula>G$66-$S$66</formula>
      <formula>G$66+$S$66</formula>
    </cfRule>
    <cfRule type="cellIs" priority="20" operator="notBetween" dxfId="0" stopIfTrue="1">
      <formula>G$66-$S$66*0.8</formula>
      <formula>G$66+$S$66*0.8</formula>
    </cfRule>
  </conditionalFormatting>
  <conditionalFormatting sqref="H67:J67">
    <cfRule type="cellIs" priority="17" operator="notBetween" dxfId="1" stopIfTrue="1">
      <formula>H$66-$S$66</formula>
      <formula>H$66+$S$66</formula>
    </cfRule>
    <cfRule type="cellIs" priority="18" operator="notBetween" dxfId="0" stopIfTrue="1">
      <formula>H$66-$S$66*0.8</formula>
      <formula>H$66+$S$66*0.8</formula>
    </cfRule>
  </conditionalFormatting>
  <conditionalFormatting sqref="M67:Q67">
    <cfRule type="cellIs" priority="15" operator="notBetween" dxfId="1" stopIfTrue="1">
      <formula>M$66-$S$66</formula>
      <formula>M$66+$S$66</formula>
    </cfRule>
    <cfRule type="cellIs" priority="16" operator="notBetween" dxfId="0" stopIfTrue="1">
      <formula>M$66-$S$66*0.8</formula>
      <formula>M$66+$S$66*0.8</formula>
    </cfRule>
  </conditionalFormatting>
  <conditionalFormatting sqref="F69:J69">
    <cfRule type="cellIs" priority="13" operator="notBetween" dxfId="1" stopIfTrue="1">
      <formula>F$66-$S$66</formula>
      <formula>F$66+$S$66</formula>
    </cfRule>
    <cfRule type="cellIs" priority="14" operator="notBetween" dxfId="0" stopIfTrue="1">
      <formula>F$66-$S$66*0.8</formula>
      <formula>F$66+$S$66*0.8</formula>
    </cfRule>
  </conditionalFormatting>
  <conditionalFormatting sqref="M69:Q69">
    <cfRule type="cellIs" priority="11" operator="notBetween" dxfId="1" stopIfTrue="1">
      <formula>M$66-$S$66</formula>
      <formula>M$66+$S$66</formula>
    </cfRule>
    <cfRule type="cellIs" priority="12" operator="notBetween" dxfId="0" stopIfTrue="1">
      <formula>M$66-$S$66*0.8</formula>
      <formula>M$66+$S$66*0.8</formula>
    </cfRule>
  </conditionalFormatting>
  <conditionalFormatting sqref="F71:J71">
    <cfRule type="cellIs" priority="9" operator="notBetween" dxfId="1" stopIfTrue="1">
      <formula>F$66-$S$66</formula>
      <formula>F$66+$S$66</formula>
    </cfRule>
    <cfRule type="cellIs" priority="10" operator="notBetween" dxfId="0" stopIfTrue="1">
      <formula>F$66-$S$66*0.8</formula>
      <formula>F$66+$S$66*0.8</formula>
    </cfRule>
  </conditionalFormatting>
  <conditionalFormatting sqref="M71:Q71">
    <cfRule type="cellIs" priority="7" operator="notBetween" dxfId="1" stopIfTrue="1">
      <formula>M$66-$S$66</formula>
      <formula>M$66+$S$66</formula>
    </cfRule>
    <cfRule type="cellIs" priority="8" operator="notBetween" dxfId="0" stopIfTrue="1">
      <formula>M$66-$S$66*0.8</formula>
      <formula>M$66+$S$66*0.8</formula>
    </cfRule>
  </conditionalFormatting>
  <conditionalFormatting sqref="F73:J73">
    <cfRule type="cellIs" priority="5" operator="notBetween" dxfId="1" stopIfTrue="1">
      <formula>F$66-$S$66</formula>
      <formula>F$66+$S$66</formula>
    </cfRule>
    <cfRule type="cellIs" priority="6" operator="notBetween" dxfId="0" stopIfTrue="1">
      <formula>F$66-$S$66*0.8</formula>
      <formula>F$66+$S$66*0.8</formula>
    </cfRule>
  </conditionalFormatting>
  <conditionalFormatting sqref="F75:J75">
    <cfRule type="cellIs" priority="3" operator="notBetween" dxfId="1" stopIfTrue="1">
      <formula>F$66-$S$66</formula>
      <formula>F$66+$S$66</formula>
    </cfRule>
    <cfRule type="cellIs" priority="4" operator="notBetween" dxfId="0" stopIfTrue="1">
      <formula>F$66-$S$66*0.8</formula>
      <formula>F$66+$S$66*0.8</formula>
    </cfRule>
  </conditionalFormatting>
  <conditionalFormatting sqref="M75:Q75">
    <cfRule type="cellIs" priority="1" operator="notBetween" dxfId="1" stopIfTrue="1">
      <formula>M$66-$S$66</formula>
      <formula>M$66+$S$66</formula>
    </cfRule>
    <cfRule type="cellIs" priority="2" operator="notBetween" dxfId="0" stopIfTrue="1">
      <formula>M$66-$S$66*0.8</formula>
      <formula>M$66+$S$66*0.8</formula>
    </cfRule>
  </conditionalFormatting>
  <dataValidations count="3">
    <dataValidation sqref="S4 S59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L9:L48 L64:L103" showDropDown="0" showInputMessage="1" showErrorMessage="1" allowBlank="0" type="list">
      <formula1>"-, A, B, C"</formula1>
    </dataValidation>
    <dataValidation sqref="K9:K48 K64:K103" showDropDown="0" showInputMessage="1" showErrorMessage="1" allowBlank="0" type="list">
      <formula1>"-, 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65" fitToHeight="0"/>
  <headerFooter alignWithMargins="0">
    <oddHeader>&amp;L&amp;G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55" min="0" max="16383" man="1"/>
  </rowBreaks>
  <legacyDrawing r:id="anysvml"/>
</worksheet>
</file>

<file path=xl/worksheets/sheet5.xml><?xml version="1.0" encoding="utf-8"?>
<worksheet xmlns="http://schemas.openxmlformats.org/spreadsheetml/2006/main">
  <sheetPr codeName="Sheet10">
    <tabColor rgb="FFE0E0E0"/>
    <outlinePr summaryBelow="1" summaryRight="1"/>
    <pageSetUpPr fitToPage="1"/>
  </sheetPr>
  <dimension ref="A1:R55"/>
  <sheetViews>
    <sheetView topLeftCell="A34" zoomScaleNormal="100" workbookViewId="0">
      <selection activeCell="G59" sqref="G59"/>
    </sheetView>
  </sheetViews>
  <sheetFormatPr baseColWidth="8" defaultColWidth="9.1796875" defaultRowHeight="12.5"/>
  <cols>
    <col width="5.7265625" customWidth="1" style="1" min="1" max="2"/>
    <col width="18.7265625" customWidth="1" style="1" min="3" max="3"/>
    <col width="8.7265625" customWidth="1" style="1" min="4" max="9"/>
    <col width="5.7265625" customWidth="1" style="1" min="10" max="10"/>
    <col width="3.7265625" customWidth="1" style="1" min="11" max="11"/>
    <col width="8.7265625" customWidth="1" style="1" min="12" max="15"/>
    <col width="15.7265625" customWidth="1" style="1" min="16" max="16"/>
    <col width="14.1796875" customWidth="1" style="1" min="17" max="17"/>
    <col width="5.7265625" customWidth="1" style="1" min="18" max="18"/>
    <col width="9.1796875" customWidth="1" style="1" min="19" max="16384"/>
  </cols>
  <sheetData>
    <row r="1" ht="15" customFormat="1" customHeight="1" s="5" thickTop="1">
      <c r="A1" s="60" t="n"/>
      <c r="B1" s="61" t="n"/>
      <c r="C1" s="61" t="n"/>
      <c r="D1" s="61" t="n"/>
      <c r="E1" s="61" t="n"/>
      <c r="F1" s="61" t="n"/>
      <c r="G1" s="61" t="n"/>
      <c r="H1" s="61" t="n"/>
      <c r="I1" s="61" t="n"/>
      <c r="J1" s="101" t="n"/>
      <c r="K1" s="101" t="n"/>
      <c r="L1" s="101" t="n"/>
      <c r="M1" s="101" t="n"/>
      <c r="N1" s="101" t="n"/>
      <c r="O1" s="101" t="n"/>
      <c r="P1" s="101" t="n"/>
      <c r="Q1" s="101" t="n"/>
      <c r="R1" s="102" t="n"/>
    </row>
    <row r="2" ht="25" customFormat="1" customHeight="1" s="5">
      <c r="A2" s="530" t="inlineStr">
        <is>
          <t>Test Bed Low Temperature Measurement Calibration</t>
        </is>
      </c>
      <c r="B2" s="461" t="n"/>
      <c r="C2" s="461" t="n"/>
      <c r="D2" s="461" t="n"/>
      <c r="E2" s="461" t="n"/>
      <c r="F2" s="461" t="n"/>
      <c r="G2" s="461" t="n"/>
      <c r="H2" s="461" t="n"/>
      <c r="I2" s="461" t="n"/>
      <c r="J2" s="461" t="n"/>
      <c r="K2" s="461" t="n"/>
      <c r="L2" s="461" t="n"/>
      <c r="M2" s="461" t="n"/>
      <c r="N2" s="461" t="n"/>
      <c r="O2" s="461" t="n"/>
      <c r="P2" s="461" t="n"/>
      <c r="Q2" s="461" t="n"/>
      <c r="R2" s="495" t="n"/>
    </row>
    <row r="3" ht="13.5" customFormat="1" customHeight="1" s="2" thickBot="1">
      <c r="A3" s="62" t="n"/>
      <c r="B3" s="63" t="n"/>
      <c r="C3" s="63" t="n"/>
      <c r="D3" s="64" t="n"/>
      <c r="E3" s="64" t="n"/>
      <c r="F3" s="63" t="n"/>
      <c r="G3" s="63" t="n"/>
      <c r="H3" s="63" t="n"/>
      <c r="I3" s="63" t="n"/>
      <c r="J3" s="19" t="n"/>
      <c r="K3" s="19" t="n"/>
      <c r="L3" s="19" t="n"/>
      <c r="M3" s="19" t="n"/>
      <c r="N3" s="19" t="n"/>
      <c r="O3" s="19" t="n"/>
      <c r="P3" s="19" t="n"/>
      <c r="Q3" s="19" t="n"/>
      <c r="R3" s="103" t="n"/>
    </row>
    <row r="4" ht="16" customFormat="1" customHeight="1" s="2" thickBot="1">
      <c r="A4" s="48" t="n"/>
      <c r="B4" s="10" t="inlineStr">
        <is>
          <t xml:space="preserve">Job No. </t>
        </is>
      </c>
      <c r="C4" s="194">
        <f>Title!$C$4</f>
        <v/>
      </c>
      <c r="D4" s="7" t="n"/>
      <c r="E4" s="10" t="inlineStr">
        <is>
          <t xml:space="preserve">Calibrated By. </t>
        </is>
      </c>
      <c r="F4" s="16">
        <f>Title!$C$3</f>
        <v/>
      </c>
      <c r="G4" s="472" t="n"/>
      <c r="H4" s="7" t="n"/>
      <c r="I4" s="7" t="n"/>
      <c r="J4" s="10" t="inlineStr">
        <is>
          <t xml:space="preserve">Calibration Date. </t>
        </is>
      </c>
      <c r="K4" s="531">
        <f>Title!$C$9</f>
        <v/>
      </c>
      <c r="L4" s="471" t="n"/>
      <c r="M4" s="472" t="n"/>
      <c r="N4" s="8" t="n"/>
      <c r="O4" s="10" t="inlineStr">
        <is>
          <t>Bed No.</t>
        </is>
      </c>
      <c r="P4" s="474">
        <f>Title!$F$3</f>
        <v/>
      </c>
      <c r="Q4" s="472" t="n"/>
      <c r="R4" s="65" t="n"/>
    </row>
    <row r="5" ht="15" customFormat="1" customHeight="1" s="2">
      <c r="A5" s="62" t="n"/>
      <c r="B5" s="63" t="n"/>
      <c r="C5" s="63" t="n"/>
      <c r="D5" s="104" t="n"/>
      <c r="E5" s="64" t="n"/>
      <c r="F5" s="63" t="n"/>
      <c r="G5" s="63" t="n"/>
      <c r="H5" s="19" t="n"/>
      <c r="I5" s="19" t="n"/>
      <c r="J5" s="19" t="n"/>
      <c r="K5" s="19" t="n"/>
      <c r="L5" s="19" t="n"/>
      <c r="M5" s="19" t="n"/>
      <c r="N5" s="19" t="n"/>
      <c r="O5" s="19" t="n"/>
      <c r="P5" s="19" t="n"/>
      <c r="Q5" s="19" t="n"/>
      <c r="R5" s="103" t="n"/>
    </row>
    <row r="6" ht="15" customFormat="1" customHeight="1" s="4">
      <c r="A6" s="105" t="inlineStr">
        <is>
          <t>Acceptable Deviation: +/-0.5°C, adjust if error &gt;0.3°C</t>
        </is>
      </c>
      <c r="B6" s="64" t="n"/>
      <c r="C6" s="64" t="n"/>
      <c r="D6" s="64" t="n"/>
      <c r="E6" s="64" t="n"/>
      <c r="F6" s="64" t="n"/>
      <c r="G6" s="64" t="n"/>
      <c r="H6" s="64" t="n"/>
      <c r="I6" s="64" t="n"/>
      <c r="J6" s="64" t="n"/>
      <c r="K6" s="64" t="n"/>
      <c r="L6" s="64" t="n"/>
      <c r="M6" s="64" t="n"/>
      <c r="N6" s="64" t="n"/>
      <c r="O6" s="64" t="n"/>
      <c r="P6" s="64" t="n"/>
      <c r="Q6" s="64" t="n"/>
      <c r="R6" s="106" t="n"/>
    </row>
    <row r="7" ht="15" customFormat="1" customHeight="1" s="2" thickBot="1">
      <c r="A7" s="62" t="n"/>
      <c r="B7" s="394" t="n"/>
      <c r="C7" s="63" t="n"/>
      <c r="D7" s="63" t="n"/>
      <c r="E7" s="63" t="n"/>
      <c r="F7" s="63" t="n"/>
      <c r="G7" s="63" t="n"/>
      <c r="H7" s="19" t="n"/>
      <c r="I7" s="63" t="n"/>
      <c r="J7" s="19" t="n"/>
      <c r="K7" s="63" t="n"/>
      <c r="L7" s="63" t="n"/>
      <c r="M7" s="63" t="n"/>
      <c r="N7" s="63" t="n"/>
      <c r="O7" s="63" t="n"/>
      <c r="P7" s="63" t="n"/>
      <c r="Q7" s="64" t="n"/>
      <c r="R7" s="103" t="n"/>
    </row>
    <row r="8" ht="15" customFormat="1" customHeight="1" s="2">
      <c r="A8" s="68" t="n"/>
      <c r="B8" s="107" t="inlineStr">
        <is>
          <t>Chan.</t>
        </is>
      </c>
      <c r="C8" s="532" t="inlineStr">
        <is>
          <t>Channel Name</t>
        </is>
      </c>
      <c r="D8" s="533" t="inlineStr">
        <is>
          <t>Pre-Calibration Set Points °C</t>
        </is>
      </c>
      <c r="E8" s="534" t="n"/>
      <c r="F8" s="534" t="n"/>
      <c r="G8" s="534" t="n"/>
      <c r="H8" s="535" t="n"/>
      <c r="I8" s="108" t="inlineStr">
        <is>
          <t>Pass/Fail</t>
        </is>
      </c>
      <c r="J8" s="19" t="n"/>
      <c r="K8" s="7" t="n"/>
      <c r="L8" s="533" t="inlineStr">
        <is>
          <t>Post-Calibration Set Points °C</t>
        </is>
      </c>
      <c r="M8" s="534" t="n"/>
      <c r="N8" s="534" t="n"/>
      <c r="O8" s="534" t="n"/>
      <c r="P8" s="535" t="n"/>
      <c r="Q8" s="64" t="n"/>
      <c r="R8" s="103" t="n"/>
    </row>
    <row r="9" ht="15" customFormat="1" customHeight="1" s="2" thickBot="1">
      <c r="A9" s="68" t="n"/>
      <c r="B9" s="109" t="inlineStr">
        <is>
          <t>No.</t>
        </is>
      </c>
      <c r="C9" s="536" t="n"/>
      <c r="D9" s="537" t="n">
        <v>20</v>
      </c>
      <c r="E9" s="538" t="n">
        <v>55</v>
      </c>
      <c r="F9" s="538" t="n">
        <v>90</v>
      </c>
      <c r="G9" s="538" t="n">
        <v>115</v>
      </c>
      <c r="H9" s="539" t="n">
        <v>150</v>
      </c>
      <c r="I9" s="143" t="inlineStr">
        <is>
          <t>(P/F)</t>
        </is>
      </c>
      <c r="J9" s="19" t="n"/>
      <c r="K9" s="8" t="n"/>
      <c r="L9" s="537" t="n">
        <v>20</v>
      </c>
      <c r="M9" s="538" t="n">
        <v>55</v>
      </c>
      <c r="N9" s="538" t="n">
        <v>90</v>
      </c>
      <c r="O9" s="538" t="n">
        <v>115</v>
      </c>
      <c r="P9" s="540" t="n">
        <v>150</v>
      </c>
      <c r="Q9" s="64" t="n"/>
      <c r="R9" s="103" t="n"/>
    </row>
    <row r="10" ht="15" customFormat="1" customHeight="1" s="2">
      <c r="A10" s="68" t="n"/>
      <c r="B10" s="114" t="n">
        <v>36</v>
      </c>
      <c r="C10" s="245" t="inlineStr">
        <is>
          <t>T36</t>
        </is>
      </c>
      <c r="D10" s="541" t="n">
        <v>20.15</v>
      </c>
      <c r="E10" s="542" t="n">
        <v>55.09</v>
      </c>
      <c r="F10" s="542" t="n">
        <v>90.2</v>
      </c>
      <c r="G10" s="542" t="n">
        <v>115.2</v>
      </c>
      <c r="H10" s="542" t="n">
        <v>150.19</v>
      </c>
      <c r="I10" s="144" t="inlineStr">
        <is>
          <t>Pass</t>
        </is>
      </c>
      <c r="J10" s="19" t="n"/>
      <c r="K10" s="8" t="n"/>
      <c r="L10" s="543" t="n"/>
      <c r="M10" s="544" t="n"/>
      <c r="N10" s="544" t="n"/>
      <c r="O10" s="544" t="n"/>
      <c r="P10" s="545" t="n"/>
      <c r="Q10" s="64" t="n"/>
      <c r="R10" s="103" t="n"/>
    </row>
    <row r="11" ht="15" customFormat="1" customHeight="1" s="2">
      <c r="A11" s="68" t="n"/>
      <c r="B11" s="114" t="n">
        <v>37</v>
      </c>
      <c r="C11" s="245" t="inlineStr">
        <is>
          <t>T37</t>
        </is>
      </c>
      <c r="D11" s="541" t="n">
        <v>20.1</v>
      </c>
      <c r="E11" s="542" t="n">
        <v>55.1</v>
      </c>
      <c r="F11" s="542" t="n">
        <v>90.2</v>
      </c>
      <c r="G11" s="542" t="n">
        <v>115.16</v>
      </c>
      <c r="H11" s="542" t="n">
        <v>150.09</v>
      </c>
      <c r="I11" s="144" t="inlineStr">
        <is>
          <t>Pass</t>
        </is>
      </c>
      <c r="J11" s="19" t="n"/>
      <c r="K11" s="8" t="n"/>
      <c r="L11" s="541" t="n"/>
      <c r="M11" s="542" t="n"/>
      <c r="N11" s="542" t="n"/>
      <c r="O11" s="542" t="n"/>
      <c r="P11" s="546" t="n"/>
      <c r="Q11" s="64" t="n"/>
      <c r="R11" s="103" t="n"/>
    </row>
    <row r="12" ht="15" customFormat="1" customHeight="1" s="2">
      <c r="A12" s="68" t="n"/>
      <c r="B12" s="114" t="n">
        <v>38</v>
      </c>
      <c r="C12" s="245" t="inlineStr">
        <is>
          <t>T38</t>
        </is>
      </c>
      <c r="D12" s="541" t="n">
        <v>20.09</v>
      </c>
      <c r="E12" s="542" t="n">
        <v>55.19</v>
      </c>
      <c r="F12" s="542" t="n">
        <v>90.12</v>
      </c>
      <c r="G12" s="542" t="n">
        <v>115.1</v>
      </c>
      <c r="H12" s="542" t="n">
        <v>150.19</v>
      </c>
      <c r="I12" s="144" t="inlineStr">
        <is>
          <t>Pass</t>
        </is>
      </c>
      <c r="J12" s="19" t="n"/>
      <c r="K12" s="8" t="n"/>
      <c r="L12" s="541" t="n"/>
      <c r="M12" s="542" t="n"/>
      <c r="N12" s="542" t="n"/>
      <c r="O12" s="542" t="n"/>
      <c r="P12" s="546" t="n"/>
      <c r="Q12" s="64" t="n"/>
      <c r="R12" s="103" t="n"/>
    </row>
    <row r="13" ht="15" customFormat="1" customHeight="1" s="2">
      <c r="A13" s="68" t="n"/>
      <c r="B13" s="114" t="n">
        <v>39</v>
      </c>
      <c r="C13" s="245" t="inlineStr">
        <is>
          <t>T39</t>
        </is>
      </c>
      <c r="D13" s="541" t="n">
        <v>20.1</v>
      </c>
      <c r="E13" s="542" t="n">
        <v>55.18</v>
      </c>
      <c r="F13" s="542" t="n">
        <v>90.12</v>
      </c>
      <c r="G13" s="542" t="n">
        <v>115.1</v>
      </c>
      <c r="H13" s="542" t="n">
        <v>150.1</v>
      </c>
      <c r="I13" s="144" t="inlineStr">
        <is>
          <t>Pass</t>
        </is>
      </c>
      <c r="J13" s="19" t="n"/>
      <c r="K13" s="8" t="n"/>
      <c r="L13" s="541" t="n"/>
      <c r="M13" s="542" t="n"/>
      <c r="N13" s="542" t="n"/>
      <c r="O13" s="542" t="n"/>
      <c r="P13" s="546" t="n"/>
      <c r="Q13" s="64" t="n"/>
      <c r="R13" s="103" t="n"/>
    </row>
    <row r="14" ht="15" customFormat="1" customHeight="1" s="2">
      <c r="A14" s="68" t="n"/>
      <c r="B14" s="114" t="n">
        <v>40</v>
      </c>
      <c r="C14" s="245" t="inlineStr">
        <is>
          <t>T40</t>
        </is>
      </c>
      <c r="D14" s="541" t="n">
        <v>20.05</v>
      </c>
      <c r="E14" s="542" t="n">
        <v>55</v>
      </c>
      <c r="F14" s="542" t="n">
        <v>90.09999999999999</v>
      </c>
      <c r="G14" s="542" t="n">
        <v>115.1</v>
      </c>
      <c r="H14" s="542" t="n">
        <v>150.1</v>
      </c>
      <c r="I14" s="144" t="inlineStr">
        <is>
          <t>Pass</t>
        </is>
      </c>
      <c r="J14" s="19" t="n"/>
      <c r="K14" s="8" t="n"/>
      <c r="L14" s="541" t="n"/>
      <c r="M14" s="542" t="n"/>
      <c r="N14" s="542" t="n"/>
      <c r="O14" s="542" t="n"/>
      <c r="P14" s="546" t="n"/>
      <c r="Q14" s="64" t="n"/>
      <c r="R14" s="103" t="n"/>
    </row>
    <row r="15" ht="15" customFormat="1" customHeight="1" s="2">
      <c r="A15" s="68" t="n"/>
      <c r="B15" s="114" t="n">
        <v>41</v>
      </c>
      <c r="C15" s="245" t="inlineStr">
        <is>
          <t>T41</t>
        </is>
      </c>
      <c r="D15" s="541" t="n">
        <v>20.1</v>
      </c>
      <c r="E15" s="542" t="n">
        <v>55.1</v>
      </c>
      <c r="F15" s="542" t="n">
        <v>90.2</v>
      </c>
      <c r="G15" s="542" t="n">
        <v>115.19</v>
      </c>
      <c r="H15" s="542" t="n">
        <v>150.19</v>
      </c>
      <c r="I15" s="144" t="inlineStr">
        <is>
          <t>Pass</t>
        </is>
      </c>
      <c r="J15" s="19" t="n"/>
      <c r="K15" s="8" t="n"/>
      <c r="L15" s="541" t="n"/>
      <c r="M15" s="542" t="n"/>
      <c r="N15" s="542" t="n"/>
      <c r="O15" s="542" t="n"/>
      <c r="P15" s="546" t="n"/>
      <c r="Q15" s="64" t="n"/>
      <c r="R15" s="103" t="n"/>
    </row>
    <row r="16" ht="15" customFormat="1" customHeight="1" s="2">
      <c r="A16" s="68" t="n"/>
      <c r="B16" s="114" t="n">
        <v>42</v>
      </c>
      <c r="C16" s="245" t="inlineStr">
        <is>
          <t>T42</t>
        </is>
      </c>
      <c r="D16" s="541" t="n">
        <v>20.1</v>
      </c>
      <c r="E16" s="542" t="n">
        <v>55.08</v>
      </c>
      <c r="F16" s="542" t="n">
        <v>90.11</v>
      </c>
      <c r="G16" s="542" t="n">
        <v>115.1</v>
      </c>
      <c r="H16" s="542" t="n">
        <v>150.1</v>
      </c>
      <c r="I16" s="144" t="inlineStr">
        <is>
          <t>Pass</t>
        </is>
      </c>
      <c r="J16" s="19" t="n"/>
      <c r="K16" s="8" t="n"/>
      <c r="L16" s="541" t="n"/>
      <c r="M16" s="542" t="n"/>
      <c r="N16" s="542" t="n"/>
      <c r="O16" s="542" t="n"/>
      <c r="P16" s="546" t="n"/>
      <c r="Q16" s="64" t="n"/>
      <c r="R16" s="103" t="n"/>
    </row>
    <row r="17" ht="15" customFormat="1" customHeight="1" s="2">
      <c r="A17" s="68" t="n"/>
      <c r="B17" s="114" t="n">
        <v>43</v>
      </c>
      <c r="C17" s="245" t="inlineStr">
        <is>
          <t>T43</t>
        </is>
      </c>
      <c r="D17" s="541" t="n">
        <v>20.1</v>
      </c>
      <c r="E17" s="542" t="n">
        <v>55.1</v>
      </c>
      <c r="F17" s="542" t="n">
        <v>90.19</v>
      </c>
      <c r="G17" s="542" t="n">
        <v>115.1</v>
      </c>
      <c r="H17" s="542" t="n">
        <v>150.18</v>
      </c>
      <c r="I17" s="144" t="inlineStr">
        <is>
          <t>Pass</t>
        </is>
      </c>
      <c r="J17" s="19" t="n"/>
      <c r="K17" s="8" t="n"/>
      <c r="L17" s="541" t="n"/>
      <c r="M17" s="542" t="n"/>
      <c r="N17" s="542" t="n"/>
      <c r="O17" s="542" t="n"/>
      <c r="P17" s="546" t="n"/>
      <c r="Q17" s="64" t="n"/>
      <c r="R17" s="103" t="n"/>
    </row>
    <row r="18" ht="15" customFormat="1" customHeight="1" s="2">
      <c r="A18" s="68" t="n"/>
      <c r="B18" s="114" t="n">
        <v>44</v>
      </c>
      <c r="C18" s="245" t="inlineStr">
        <is>
          <t>T44</t>
        </is>
      </c>
      <c r="D18" s="541" t="n">
        <v>20.08</v>
      </c>
      <c r="E18" s="542" t="n">
        <v>55.12</v>
      </c>
      <c r="F18" s="542" t="n">
        <v>90.16</v>
      </c>
      <c r="G18" s="542" t="n">
        <v>115.16</v>
      </c>
      <c r="H18" s="542" t="n">
        <v>150.2</v>
      </c>
      <c r="I18" s="144" t="inlineStr">
        <is>
          <t>Pass</t>
        </is>
      </c>
      <c r="J18" s="19" t="n"/>
      <c r="K18" s="8" t="n"/>
      <c r="L18" s="541" t="n"/>
      <c r="M18" s="542" t="n"/>
      <c r="N18" s="542" t="n"/>
      <c r="O18" s="542" t="n"/>
      <c r="P18" s="546" t="n"/>
      <c r="Q18" s="64" t="n"/>
      <c r="R18" s="103" t="n"/>
    </row>
    <row r="19" ht="15" customFormat="1" customHeight="1" s="2">
      <c r="A19" s="68" t="n"/>
      <c r="B19" s="114" t="n">
        <v>45</v>
      </c>
      <c r="C19" s="245" t="inlineStr">
        <is>
          <t>T45</t>
        </is>
      </c>
      <c r="D19" s="541" t="n">
        <v>20.09</v>
      </c>
      <c r="E19" s="542" t="n">
        <v>55.08</v>
      </c>
      <c r="F19" s="542" t="n">
        <v>90.11</v>
      </c>
      <c r="G19" s="542" t="n">
        <v>115.1</v>
      </c>
      <c r="H19" s="542" t="n">
        <v>150.1</v>
      </c>
      <c r="I19" s="144" t="inlineStr">
        <is>
          <t>Pass</t>
        </is>
      </c>
      <c r="J19" s="19" t="n"/>
      <c r="K19" s="8" t="n"/>
      <c r="L19" s="541" t="n"/>
      <c r="M19" s="542" t="n"/>
      <c r="N19" s="542" t="n"/>
      <c r="O19" s="542" t="n"/>
      <c r="P19" s="546" t="n"/>
      <c r="Q19" s="64" t="n"/>
      <c r="R19" s="103" t="n"/>
    </row>
    <row r="20" ht="15" customFormat="1" customHeight="1" s="2">
      <c r="A20" s="68" t="n"/>
      <c r="B20" s="114" t="n">
        <v>46</v>
      </c>
      <c r="C20" s="245" t="inlineStr">
        <is>
          <t>T46</t>
        </is>
      </c>
      <c r="D20" s="541" t="n">
        <v>20.09</v>
      </c>
      <c r="E20" s="542" t="n">
        <v>55.19</v>
      </c>
      <c r="F20" s="542" t="n">
        <v>90.12</v>
      </c>
      <c r="G20" s="542" t="n">
        <v>115.09</v>
      </c>
      <c r="H20" s="542" t="n">
        <v>150.1</v>
      </c>
      <c r="I20" s="144" t="inlineStr">
        <is>
          <t>Pass</t>
        </is>
      </c>
      <c r="J20" s="19" t="n"/>
      <c r="K20" s="8" t="n"/>
      <c r="L20" s="541" t="n"/>
      <c r="M20" s="542" t="n"/>
      <c r="N20" s="542" t="n"/>
      <c r="O20" s="542" t="n"/>
      <c r="P20" s="546" t="n"/>
      <c r="Q20" s="64" t="n"/>
      <c r="R20" s="103" t="n"/>
    </row>
    <row r="21" ht="15" customFormat="1" customHeight="1" s="2">
      <c r="A21" s="68" t="n"/>
      <c r="B21" s="114" t="n">
        <v>47</v>
      </c>
      <c r="C21" s="245" t="inlineStr">
        <is>
          <t>T47</t>
        </is>
      </c>
      <c r="D21" s="541" t="n">
        <v>20.06</v>
      </c>
      <c r="E21" s="542" t="n">
        <v>55.1</v>
      </c>
      <c r="F21" s="542" t="n">
        <v>90.11</v>
      </c>
      <c r="G21" s="542" t="n">
        <v>115.11</v>
      </c>
      <c r="H21" s="542" t="n">
        <v>150.11</v>
      </c>
      <c r="I21" s="144" t="inlineStr">
        <is>
          <t>Pass</t>
        </is>
      </c>
      <c r="J21" s="19" t="n"/>
      <c r="K21" s="8" t="n"/>
      <c r="L21" s="541" t="n"/>
      <c r="M21" s="542" t="n"/>
      <c r="N21" s="542" t="n"/>
      <c r="O21" s="542" t="n"/>
      <c r="P21" s="546" t="n"/>
      <c r="Q21" s="64" t="n"/>
      <c r="R21" s="103" t="n"/>
    </row>
    <row r="22" ht="15" customFormat="1" customHeight="1" s="2" thickBot="1">
      <c r="A22" s="68" t="n"/>
      <c r="B22" s="114" t="n">
        <v>48</v>
      </c>
      <c r="C22" s="245" t="inlineStr">
        <is>
          <t>T48</t>
        </is>
      </c>
      <c r="D22" s="541" t="n">
        <v>20.1</v>
      </c>
      <c r="E22" s="542" t="n">
        <v>55.1</v>
      </c>
      <c r="F22" s="542" t="n">
        <v>90.09999999999999</v>
      </c>
      <c r="G22" s="542" t="n">
        <v>115.19</v>
      </c>
      <c r="H22" s="542" t="n">
        <v>150.2</v>
      </c>
      <c r="I22" s="144" t="inlineStr">
        <is>
          <t>Pass</t>
        </is>
      </c>
      <c r="J22" s="19" t="n"/>
      <c r="K22" s="8" t="n"/>
      <c r="L22" s="541" t="n"/>
      <c r="M22" s="542" t="n"/>
      <c r="N22" s="542" t="n"/>
      <c r="O22" s="542" t="n"/>
      <c r="P22" s="546" t="n"/>
      <c r="Q22" s="64" t="n"/>
      <c r="R22" s="103" t="n"/>
    </row>
    <row r="23" ht="15" customFormat="1" customHeight="1" s="2" thickBot="1">
      <c r="A23" s="51" t="n"/>
      <c r="B23" s="18" t="n"/>
      <c r="C23" s="10" t="inlineStr">
        <is>
          <t xml:space="preserve">         Pre-Cals. Checked By.</t>
        </is>
      </c>
      <c r="D23" s="379" t="inlineStr">
        <is>
          <t>C. Dondo</t>
        </is>
      </c>
      <c r="E23" s="547" t="n"/>
      <c r="F23" s="54" t="n"/>
      <c r="G23" s="54" t="n"/>
      <c r="H23" s="54" t="n"/>
      <c r="I23" s="54" t="n"/>
      <c r="J23" s="19" t="n"/>
      <c r="K23" s="54" t="n"/>
      <c r="L23" s="54" t="n"/>
      <c r="M23" s="54" t="n"/>
      <c r="N23" s="54" t="n"/>
      <c r="O23" s="54" t="n"/>
      <c r="P23" s="54" t="n"/>
      <c r="Q23" s="54" t="n"/>
      <c r="R23" s="49" t="n"/>
    </row>
    <row r="24" ht="15" customFormat="1" customHeight="1" s="2">
      <c r="A24" s="51" t="n"/>
      <c r="B24" s="18" t="n"/>
      <c r="C24" s="54" t="n"/>
      <c r="D24" s="54" t="n"/>
      <c r="E24" s="10" t="n"/>
      <c r="F24" s="10" t="n"/>
      <c r="G24" s="10" t="n"/>
      <c r="H24" s="10" t="n"/>
      <c r="I24" s="10" t="n"/>
      <c r="J24" s="10" t="n"/>
      <c r="K24" s="10" t="n"/>
      <c r="L24" s="10" t="n"/>
      <c r="M24" s="10" t="n"/>
      <c r="N24" s="10" t="n"/>
      <c r="O24" s="54" t="n"/>
      <c r="P24" s="54" t="n"/>
      <c r="Q24" s="394" t="n"/>
      <c r="R24" s="49" t="n"/>
    </row>
    <row r="25" ht="15" customFormat="1" customHeight="1" s="2" thickBot="1">
      <c r="A25" s="51" t="n"/>
      <c r="B25" s="18" t="n"/>
      <c r="C25" s="54" t="n"/>
      <c r="D25" s="54" t="n"/>
      <c r="E25" s="10" t="n"/>
      <c r="F25" s="18" t="inlineStr">
        <is>
          <t>DEVT No.</t>
        </is>
      </c>
      <c r="G25" s="381" t="inlineStr">
        <is>
          <t>Make / Model</t>
        </is>
      </c>
      <c r="H25" s="461" t="n"/>
      <c r="I25" s="461" t="n"/>
      <c r="J25" s="384" t="inlineStr">
        <is>
          <t>Calibration Due</t>
        </is>
      </c>
      <c r="K25" s="509" t="n"/>
      <c r="L25" s="509" t="n"/>
      <c r="M25" s="10" t="n"/>
      <c r="N25" s="548" t="inlineStr">
        <is>
          <t xml:space="preserve">Set Points are </t>
        </is>
      </c>
      <c r="O25" s="119" t="inlineStr">
        <is>
          <t>20 and 100 °C</t>
        </is>
      </c>
      <c r="P25" s="120" t="n"/>
      <c r="Q25" s="54" t="n"/>
      <c r="R25" s="49" t="n"/>
    </row>
    <row r="26" ht="15" customFormat="1" customHeight="1" s="2" thickBot="1">
      <c r="A26" s="51" t="n"/>
      <c r="B26" s="18" t="n"/>
      <c r="C26" s="54" t="n"/>
      <c r="D26" s="54" t="n"/>
      <c r="E26" s="10" t="inlineStr">
        <is>
          <t xml:space="preserve">Temperature Simulator Used. </t>
        </is>
      </c>
      <c r="F26" s="379" t="n">
        <v>105</v>
      </c>
      <c r="G26" s="386" t="inlineStr">
        <is>
          <t>Druck DPI620</t>
        </is>
      </c>
      <c r="H26" s="471" t="n"/>
      <c r="I26" s="547" t="n"/>
      <c r="J26" s="549" t="n">
        <v>44891</v>
      </c>
      <c r="K26" s="471" t="n"/>
      <c r="L26" s="547" t="n"/>
      <c r="M26" s="10" t="n"/>
      <c r="N26" s="10" t="n"/>
      <c r="O26" s="18" t="n"/>
      <c r="P26" s="8" t="n"/>
      <c r="Q26" s="8" t="n"/>
      <c r="R26" s="49" t="n"/>
    </row>
    <row r="27" ht="15" customFormat="1" customHeight="1" s="2" thickBot="1">
      <c r="A27" s="74" t="n"/>
      <c r="B27" s="75" t="n"/>
      <c r="C27" s="75" t="n"/>
      <c r="D27" s="75" t="n"/>
      <c r="E27" s="75" t="n"/>
      <c r="F27" s="75" t="n"/>
      <c r="G27" s="75" t="n"/>
      <c r="H27" s="75" t="n"/>
      <c r="I27" s="75" t="n"/>
      <c r="J27" s="75" t="n"/>
      <c r="K27" s="75" t="n"/>
      <c r="L27" s="75" t="n"/>
      <c r="M27" s="75" t="n"/>
      <c r="N27" s="57" t="n"/>
      <c r="O27" s="75" t="n"/>
      <c r="P27" s="75" t="n"/>
      <c r="Q27" s="75" t="n"/>
      <c r="R27" s="58" t="n"/>
    </row>
    <row r="28" ht="15" customFormat="1" customHeight="1" s="2" thickTop="1">
      <c r="A28" s="60" t="n"/>
      <c r="B28" s="61" t="n"/>
      <c r="C28" s="61" t="n"/>
      <c r="D28" s="61" t="n"/>
      <c r="E28" s="61" t="n"/>
      <c r="F28" s="61" t="n"/>
      <c r="G28" s="61" t="n"/>
      <c r="H28" s="61" t="n"/>
      <c r="I28" s="61" t="n"/>
      <c r="J28" s="101" t="n"/>
      <c r="K28" s="101" t="n"/>
      <c r="L28" s="101" t="n"/>
      <c r="M28" s="101" t="n"/>
      <c r="N28" s="101" t="n"/>
      <c r="O28" s="101" t="n"/>
      <c r="P28" s="101" t="n"/>
      <c r="Q28" s="101" t="n"/>
      <c r="R28" s="102" t="n"/>
    </row>
    <row r="29" ht="25" customFormat="1" customHeight="1" s="2">
      <c r="A29" s="530" t="inlineStr">
        <is>
          <t>Test Bed Low Temperature Measurement Calibration</t>
        </is>
      </c>
      <c r="B29" s="461" t="n"/>
      <c r="C29" s="461" t="n"/>
      <c r="D29" s="461" t="n"/>
      <c r="E29" s="461" t="n"/>
      <c r="F29" s="461" t="n"/>
      <c r="G29" s="461" t="n"/>
      <c r="H29" s="461" t="n"/>
      <c r="I29" s="461" t="n"/>
      <c r="J29" s="461" t="n"/>
      <c r="K29" s="461" t="n"/>
      <c r="L29" s="461" t="n"/>
      <c r="M29" s="461" t="n"/>
      <c r="N29" s="461" t="n"/>
      <c r="O29" s="461" t="n"/>
      <c r="P29" s="461" t="n"/>
      <c r="Q29" s="461" t="n"/>
      <c r="R29" s="495" t="n"/>
    </row>
    <row r="30" ht="15" customFormat="1" customHeight="1" s="2" thickBot="1">
      <c r="A30" s="62" t="n"/>
      <c r="B30" s="63" t="n"/>
      <c r="C30" s="63" t="n"/>
      <c r="D30" s="64" t="n"/>
      <c r="E30" s="64" t="n"/>
      <c r="F30" s="63" t="n"/>
      <c r="G30" s="63" t="n"/>
      <c r="H30" s="63" t="n"/>
      <c r="I30" s="63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03" t="n"/>
    </row>
    <row r="31" ht="16" customHeight="1" thickBot="1">
      <c r="A31" s="48" t="n"/>
      <c r="B31" s="10" t="inlineStr">
        <is>
          <t xml:space="preserve">Job No. </t>
        </is>
      </c>
      <c r="C31" s="194">
        <f>Title!$C$4</f>
        <v/>
      </c>
      <c r="D31" s="7" t="n"/>
      <c r="E31" s="10" t="inlineStr">
        <is>
          <t xml:space="preserve">Calibrated By. </t>
        </is>
      </c>
      <c r="F31" s="16">
        <f>Title!$C$3</f>
        <v/>
      </c>
      <c r="G31" s="472" t="n"/>
      <c r="H31" s="7" t="n"/>
      <c r="I31" s="7" t="n"/>
      <c r="J31" s="10" t="inlineStr">
        <is>
          <t xml:space="preserve">Calibration Date. </t>
        </is>
      </c>
      <c r="K31" s="531">
        <f>Title!$C$9</f>
        <v/>
      </c>
      <c r="L31" s="471" t="n"/>
      <c r="M31" s="472" t="n"/>
      <c r="N31" s="8" t="n"/>
      <c r="O31" s="10" t="inlineStr">
        <is>
          <t>Bed No.</t>
        </is>
      </c>
      <c r="P31" s="474">
        <f>Title!$F$3</f>
        <v/>
      </c>
      <c r="Q31" s="472" t="n"/>
      <c r="R31" s="65" t="n"/>
    </row>
    <row r="32" ht="13" customHeight="1">
      <c r="A32" s="62" t="n"/>
      <c r="B32" s="63" t="n"/>
      <c r="C32" s="63" t="n"/>
      <c r="D32" s="104" t="n"/>
      <c r="E32" s="64" t="n"/>
      <c r="F32" s="63" t="n"/>
      <c r="G32" s="63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03" t="n"/>
    </row>
    <row r="33" ht="13" customHeight="1">
      <c r="A33" s="105" t="inlineStr">
        <is>
          <t>Acceptable Deviation: +/-0.5°C, adjust if error &gt;0.3°C</t>
        </is>
      </c>
      <c r="B33" s="64" t="n"/>
      <c r="C33" s="64" t="n"/>
      <c r="D33" s="64" t="n"/>
      <c r="E33" s="64" t="n"/>
      <c r="F33" s="64" t="n"/>
      <c r="G33" s="64" t="n"/>
      <c r="H33" s="64" t="n"/>
      <c r="I33" s="64" t="n"/>
      <c r="J33" s="64" t="n"/>
      <c r="K33" s="64" t="n"/>
      <c r="L33" s="64" t="n"/>
      <c r="M33" s="64" t="n"/>
      <c r="N33" s="64" t="n"/>
      <c r="O33" s="64" t="n"/>
      <c r="P33" s="64" t="n"/>
      <c r="Q33" s="64" t="n"/>
      <c r="R33" s="106" t="n"/>
    </row>
    <row r="34" ht="13.5" customHeight="1" thickBot="1">
      <c r="A34" s="62" t="n"/>
      <c r="B34" s="394" t="n"/>
      <c r="C34" s="63" t="n"/>
      <c r="D34" s="63" t="n"/>
      <c r="E34" s="63" t="n"/>
      <c r="F34" s="63" t="n"/>
      <c r="G34" s="63" t="n"/>
      <c r="H34" s="19" t="n"/>
      <c r="I34" s="63" t="n"/>
      <c r="J34" s="19" t="n"/>
      <c r="K34" s="63" t="n"/>
      <c r="L34" s="63" t="n"/>
      <c r="M34" s="63" t="n"/>
      <c r="N34" s="63" t="n"/>
      <c r="O34" s="63" t="n"/>
      <c r="P34" s="63" t="n"/>
      <c r="Q34" s="64" t="n"/>
      <c r="R34" s="103" t="n"/>
    </row>
    <row r="35" ht="13" customHeight="1">
      <c r="A35" s="68" t="n"/>
      <c r="B35" s="107" t="inlineStr">
        <is>
          <t>Chan.</t>
        </is>
      </c>
      <c r="C35" s="532" t="inlineStr">
        <is>
          <t>Channel Name</t>
        </is>
      </c>
      <c r="D35" s="533" t="inlineStr">
        <is>
          <t>Pre-Calibration Set Points °C</t>
        </is>
      </c>
      <c r="E35" s="534" t="n"/>
      <c r="F35" s="534" t="n"/>
      <c r="G35" s="534" t="n"/>
      <c r="H35" s="535" t="n"/>
      <c r="I35" s="108" t="inlineStr">
        <is>
          <t>Pass/Fail</t>
        </is>
      </c>
      <c r="J35" s="19" t="n"/>
      <c r="K35" s="7" t="n"/>
      <c r="L35" s="533" t="inlineStr">
        <is>
          <t>Post-Calibration Set Points °C</t>
        </is>
      </c>
      <c r="M35" s="534" t="n"/>
      <c r="N35" s="534" t="n"/>
      <c r="O35" s="534" t="n"/>
      <c r="P35" s="535" t="n"/>
      <c r="Q35" s="64" t="n"/>
      <c r="R35" s="103" t="n"/>
    </row>
    <row r="36" ht="13.5" customHeight="1" thickBot="1">
      <c r="A36" s="68" t="n"/>
      <c r="B36" s="109" t="inlineStr">
        <is>
          <t>No.</t>
        </is>
      </c>
      <c r="C36" s="536" t="n"/>
      <c r="D36" s="537" t="n">
        <v>20</v>
      </c>
      <c r="E36" s="538" t="n">
        <v>55</v>
      </c>
      <c r="F36" s="538" t="n">
        <v>90</v>
      </c>
      <c r="G36" s="538" t="n">
        <v>115</v>
      </c>
      <c r="H36" s="539" t="n">
        <v>150</v>
      </c>
      <c r="I36" s="143" t="inlineStr">
        <is>
          <t>(P/F)</t>
        </is>
      </c>
      <c r="J36" s="19" t="n"/>
      <c r="K36" s="8" t="n"/>
      <c r="L36" s="537" t="n">
        <v>20</v>
      </c>
      <c r="M36" s="538" t="n">
        <v>55</v>
      </c>
      <c r="N36" s="538" t="n">
        <v>90</v>
      </c>
      <c r="O36" s="538" t="n">
        <v>115</v>
      </c>
      <c r="P36" s="540" t="n">
        <v>150</v>
      </c>
      <c r="Q36" s="64" t="n"/>
      <c r="R36" s="103" t="n"/>
    </row>
    <row r="37" ht="13" customHeight="1">
      <c r="A37" s="68" t="n"/>
      <c r="B37" s="114" t="n">
        <v>84</v>
      </c>
      <c r="C37" s="245" t="inlineStr">
        <is>
          <t>T84</t>
        </is>
      </c>
      <c r="D37" s="541" t="n">
        <v>20.1</v>
      </c>
      <c r="E37" s="542" t="n">
        <v>55.19</v>
      </c>
      <c r="F37" s="542" t="n">
        <v>90.2</v>
      </c>
      <c r="G37" s="542" t="n">
        <v>115.2</v>
      </c>
      <c r="H37" s="542" t="n">
        <v>150.2</v>
      </c>
      <c r="I37" s="144" t="inlineStr">
        <is>
          <t>Pass</t>
        </is>
      </c>
      <c r="J37" s="19" t="n"/>
      <c r="K37" s="8" t="n"/>
      <c r="L37" s="541" t="n"/>
      <c r="M37" s="542" t="n"/>
      <c r="N37" s="542" t="n"/>
      <c r="O37" s="542" t="n"/>
      <c r="P37" s="546" t="n"/>
      <c r="Q37" s="64" t="n"/>
      <c r="R37" s="103" t="n"/>
    </row>
    <row r="38" ht="13" customHeight="1">
      <c r="A38" s="68" t="n"/>
      <c r="B38" s="114" t="n">
        <v>85</v>
      </c>
      <c r="C38" s="245" t="inlineStr">
        <is>
          <t>T85</t>
        </is>
      </c>
      <c r="D38" s="541" t="n">
        <v>20.1</v>
      </c>
      <c r="E38" s="542" t="n">
        <v>55.1</v>
      </c>
      <c r="F38" s="542" t="n">
        <v>90.2</v>
      </c>
      <c r="G38" s="542" t="n">
        <v>115.2</v>
      </c>
      <c r="H38" s="542" t="n">
        <v>150.1</v>
      </c>
      <c r="I38" s="144" t="inlineStr">
        <is>
          <t>Pass</t>
        </is>
      </c>
      <c r="J38" s="19" t="n"/>
      <c r="K38" s="8" t="n"/>
      <c r="L38" s="541" t="n"/>
      <c r="M38" s="542" t="n"/>
      <c r="N38" s="542" t="n"/>
      <c r="O38" s="542" t="n"/>
      <c r="P38" s="546" t="n"/>
      <c r="Q38" s="64" t="n"/>
      <c r="R38" s="103" t="n"/>
    </row>
    <row r="39" ht="13" customHeight="1">
      <c r="A39" s="68" t="n"/>
      <c r="B39" s="114" t="n">
        <v>86</v>
      </c>
      <c r="C39" s="245" t="inlineStr">
        <is>
          <t>T86</t>
        </is>
      </c>
      <c r="D39" s="541" t="n">
        <v>20.1</v>
      </c>
      <c r="E39" s="542" t="n">
        <v>55.1</v>
      </c>
      <c r="F39" s="542" t="n">
        <v>90.19</v>
      </c>
      <c r="G39" s="542" t="n">
        <v>115.1</v>
      </c>
      <c r="H39" s="542" t="n">
        <v>150.1</v>
      </c>
      <c r="I39" s="144" t="inlineStr">
        <is>
          <t>Pass</t>
        </is>
      </c>
      <c r="J39" s="19" t="n"/>
      <c r="K39" s="8" t="n"/>
      <c r="L39" s="541" t="n"/>
      <c r="M39" s="542" t="n"/>
      <c r="N39" s="542" t="n"/>
      <c r="O39" s="542" t="n"/>
      <c r="P39" s="546" t="n"/>
      <c r="Q39" s="64" t="n"/>
      <c r="R39" s="103" t="n"/>
    </row>
    <row r="40" ht="13" customHeight="1">
      <c r="A40" s="68" t="n"/>
      <c r="B40" s="114" t="n">
        <v>87</v>
      </c>
      <c r="C40" s="245" t="inlineStr">
        <is>
          <t>T87</t>
        </is>
      </c>
      <c r="D40" s="541" t="n">
        <v>19.8</v>
      </c>
      <c r="E40" s="542" t="n">
        <v>54.8</v>
      </c>
      <c r="F40" s="542" t="n">
        <v>89.8</v>
      </c>
      <c r="G40" s="542" t="n">
        <v>114.8</v>
      </c>
      <c r="H40" s="542" t="n">
        <v>149.79</v>
      </c>
      <c r="I40" s="144" t="inlineStr">
        <is>
          <t>Pass</t>
        </is>
      </c>
      <c r="J40" s="19" t="n"/>
      <c r="K40" s="8" t="n"/>
      <c r="L40" s="541" t="n"/>
      <c r="M40" s="542" t="n"/>
      <c r="N40" s="542" t="n"/>
      <c r="O40" s="542" t="n"/>
      <c r="P40" s="546" t="n"/>
      <c r="Q40" s="64" t="n"/>
      <c r="R40" s="103" t="n"/>
    </row>
    <row r="41" ht="13" customHeight="1">
      <c r="A41" s="68" t="n"/>
      <c r="B41" s="114" t="n">
        <v>88</v>
      </c>
      <c r="C41" s="245" t="inlineStr">
        <is>
          <t>T88</t>
        </is>
      </c>
      <c r="D41" s="541" t="n">
        <v>20.1</v>
      </c>
      <c r="E41" s="542" t="n">
        <v>55.1</v>
      </c>
      <c r="F41" s="542" t="n">
        <v>90.09999999999999</v>
      </c>
      <c r="G41" s="542" t="n">
        <v>115.1</v>
      </c>
      <c r="H41" s="542" t="n">
        <v>150.1</v>
      </c>
      <c r="I41" s="144" t="inlineStr">
        <is>
          <t>Pass</t>
        </is>
      </c>
      <c r="J41" s="19" t="n"/>
      <c r="K41" s="8" t="n"/>
      <c r="L41" s="541" t="n"/>
      <c r="M41" s="542" t="n"/>
      <c r="N41" s="542" t="n"/>
      <c r="O41" s="542" t="n"/>
      <c r="P41" s="546" t="n"/>
      <c r="Q41" s="64" t="n"/>
      <c r="R41" s="103" t="n"/>
    </row>
    <row r="42" ht="13" customHeight="1">
      <c r="A42" s="68" t="n"/>
      <c r="B42" s="114" t="n">
        <v>89</v>
      </c>
      <c r="C42" s="245" t="inlineStr">
        <is>
          <t>T89</t>
        </is>
      </c>
      <c r="D42" s="541" t="n">
        <v>20.1</v>
      </c>
      <c r="E42" s="542" t="n">
        <v>55.1</v>
      </c>
      <c r="F42" s="542" t="n">
        <v>90.2</v>
      </c>
      <c r="G42" s="542" t="n">
        <v>115.2</v>
      </c>
      <c r="H42" s="542" t="n">
        <v>150.1</v>
      </c>
      <c r="I42" s="144" t="inlineStr">
        <is>
          <t>Pass</t>
        </is>
      </c>
      <c r="J42" s="19" t="n"/>
      <c r="K42" s="8" t="n"/>
      <c r="L42" s="541" t="n"/>
      <c r="M42" s="542" t="n"/>
      <c r="N42" s="542" t="n"/>
      <c r="O42" s="542" t="n"/>
      <c r="P42" s="546" t="n"/>
      <c r="Q42" s="64" t="n"/>
      <c r="R42" s="103" t="n"/>
    </row>
    <row r="43" ht="13" customHeight="1">
      <c r="A43" s="68" t="n"/>
      <c r="B43" s="114" t="n">
        <v>90</v>
      </c>
      <c r="C43" s="245" t="inlineStr">
        <is>
          <t>T90</t>
        </is>
      </c>
      <c r="D43" s="541" t="n">
        <v>20.2</v>
      </c>
      <c r="E43" s="542" t="n">
        <v>55.2</v>
      </c>
      <c r="F43" s="542" t="n">
        <v>90.29000000000001</v>
      </c>
      <c r="G43" s="542" t="n">
        <v>115.29</v>
      </c>
      <c r="H43" s="542" t="n">
        <v>150.19</v>
      </c>
      <c r="I43" s="144" t="inlineStr">
        <is>
          <t>Pass</t>
        </is>
      </c>
      <c r="J43" s="19" t="n"/>
      <c r="K43" s="8" t="n"/>
      <c r="L43" s="541" t="n"/>
      <c r="M43" s="542" t="n"/>
      <c r="N43" s="542" t="n"/>
      <c r="O43" s="542" t="n"/>
      <c r="P43" s="546" t="n"/>
      <c r="Q43" s="64" t="n"/>
      <c r="R43" s="103" t="n"/>
    </row>
    <row r="44" ht="13" customHeight="1">
      <c r="A44" s="68" t="n"/>
      <c r="B44" s="114" t="n">
        <v>91</v>
      </c>
      <c r="C44" s="245" t="inlineStr">
        <is>
          <t>T91</t>
        </is>
      </c>
      <c r="D44" s="541" t="n">
        <v>20.06</v>
      </c>
      <c r="E44" s="542" t="n">
        <v>55.09</v>
      </c>
      <c r="F44" s="542" t="n">
        <v>90.09999999999999</v>
      </c>
      <c r="G44" s="542" t="n">
        <v>115.1</v>
      </c>
      <c r="H44" s="542" t="n">
        <v>150.2</v>
      </c>
      <c r="I44" s="144" t="inlineStr">
        <is>
          <t>Pass</t>
        </is>
      </c>
      <c r="J44" s="19" t="n"/>
      <c r="K44" s="8" t="n"/>
      <c r="L44" s="541" t="n"/>
      <c r="M44" s="542" t="n"/>
      <c r="N44" s="542" t="n"/>
      <c r="O44" s="542" t="n"/>
      <c r="P44" s="546" t="n"/>
      <c r="Q44" s="64" t="n"/>
      <c r="R44" s="103" t="n"/>
    </row>
    <row r="45" ht="13" customHeight="1">
      <c r="A45" s="68" t="n"/>
      <c r="B45" s="114" t="n">
        <v>92</v>
      </c>
      <c r="C45" s="245" t="inlineStr">
        <is>
          <t>T92</t>
        </is>
      </c>
      <c r="D45" s="541" t="n">
        <v>20.05</v>
      </c>
      <c r="E45" s="542" t="n">
        <v>55.18</v>
      </c>
      <c r="F45" s="542" t="n">
        <v>90.11</v>
      </c>
      <c r="G45" s="542" t="n">
        <v>115.06</v>
      </c>
      <c r="H45" s="542" t="n">
        <v>150.1</v>
      </c>
      <c r="I45" s="144" t="inlineStr">
        <is>
          <t>Pass</t>
        </is>
      </c>
      <c r="J45" s="19" t="n"/>
      <c r="K45" s="8" t="n"/>
      <c r="L45" s="541" t="n"/>
      <c r="M45" s="542" t="n"/>
      <c r="N45" s="542" t="n"/>
      <c r="O45" s="542" t="n"/>
      <c r="P45" s="546" t="n"/>
      <c r="Q45" s="64" t="n"/>
      <c r="R45" s="103" t="n"/>
    </row>
    <row r="46" ht="13" customHeight="1">
      <c r="A46" s="68" t="n"/>
      <c r="B46" s="114" t="n">
        <v>93</v>
      </c>
      <c r="C46" s="245" t="inlineStr">
        <is>
          <t>T93</t>
        </is>
      </c>
      <c r="D46" s="541" t="n">
        <v>20.05</v>
      </c>
      <c r="E46" s="542" t="n">
        <v>55.1</v>
      </c>
      <c r="F46" s="542" t="n">
        <v>90.2</v>
      </c>
      <c r="G46" s="542" t="n">
        <v>115.25</v>
      </c>
      <c r="H46" s="542" t="n">
        <v>150.29</v>
      </c>
      <c r="I46" s="144" t="inlineStr">
        <is>
          <t>Pass</t>
        </is>
      </c>
      <c r="J46" s="19" t="n"/>
      <c r="K46" s="8" t="n"/>
      <c r="L46" s="541" t="n"/>
      <c r="M46" s="542" t="n"/>
      <c r="N46" s="542" t="n"/>
      <c r="O46" s="542" t="n"/>
      <c r="P46" s="546" t="n"/>
      <c r="Q46" s="64" t="n"/>
      <c r="R46" s="103" t="n"/>
    </row>
    <row r="47" ht="13" customHeight="1">
      <c r="A47" s="68" t="n"/>
      <c r="B47" s="114" t="n">
        <v>94</v>
      </c>
      <c r="C47" s="245" t="inlineStr">
        <is>
          <t>T94</t>
        </is>
      </c>
      <c r="D47" s="541" t="n">
        <v>20.2</v>
      </c>
      <c r="E47" s="542" t="n">
        <v>55.29</v>
      </c>
      <c r="F47" s="542" t="n">
        <v>90.2</v>
      </c>
      <c r="G47" s="542" t="n">
        <v>115.27</v>
      </c>
      <c r="H47" s="542" t="n">
        <v>150.3</v>
      </c>
      <c r="I47" s="144" t="inlineStr">
        <is>
          <t>Pass</t>
        </is>
      </c>
      <c r="J47" s="19" t="n"/>
      <c r="K47" s="8" t="n"/>
      <c r="L47" s="541" t="n"/>
      <c r="M47" s="542" t="n"/>
      <c r="N47" s="542" t="n"/>
      <c r="O47" s="542" t="n"/>
      <c r="P47" s="546" t="n"/>
      <c r="Q47" s="64" t="n"/>
      <c r="R47" s="103" t="n"/>
    </row>
    <row r="48" ht="13" customHeight="1">
      <c r="A48" s="68" t="n"/>
      <c r="B48" s="114" t="n">
        <v>95</v>
      </c>
      <c r="C48" s="245" t="inlineStr">
        <is>
          <t>T95</t>
        </is>
      </c>
      <c r="D48" s="541" t="n">
        <v>20.2</v>
      </c>
      <c r="E48" s="542" t="n">
        <v>55.18</v>
      </c>
      <c r="F48" s="542" t="n">
        <v>90.2</v>
      </c>
      <c r="G48" s="542" t="n">
        <v>115.25</v>
      </c>
      <c r="H48" s="542" t="n">
        <v>150.19</v>
      </c>
      <c r="I48" s="144" t="inlineStr">
        <is>
          <t>Pass</t>
        </is>
      </c>
      <c r="J48" s="19" t="n"/>
      <c r="K48" s="8" t="n"/>
      <c r="L48" s="541" t="n"/>
      <c r="M48" s="542" t="n"/>
      <c r="N48" s="542" t="n"/>
      <c r="O48" s="542" t="n"/>
      <c r="P48" s="546" t="n"/>
      <c r="Q48" s="64" t="n"/>
      <c r="R48" s="103" t="n"/>
    </row>
    <row r="49" ht="13.5" customHeight="1" thickBot="1">
      <c r="A49" s="68" t="n"/>
      <c r="B49" s="114" t="n">
        <v>96</v>
      </c>
      <c r="C49" s="245" t="inlineStr">
        <is>
          <t>T96</t>
        </is>
      </c>
      <c r="D49" s="115" t="n">
        <v>20.16</v>
      </c>
      <c r="E49" s="116" t="n">
        <v>55.19</v>
      </c>
      <c r="F49" s="116" t="n">
        <v>90.22</v>
      </c>
      <c r="G49" s="116" t="n">
        <v>115.16</v>
      </c>
      <c r="H49" s="116" t="n">
        <v>150.21</v>
      </c>
      <c r="I49" s="144" t="inlineStr">
        <is>
          <t>Pass</t>
        </is>
      </c>
      <c r="J49" s="19" t="n"/>
      <c r="K49" s="8" t="n"/>
      <c r="L49" s="115" t="n"/>
      <c r="M49" s="116" t="n"/>
      <c r="N49" s="116" t="n"/>
      <c r="O49" s="116" t="n"/>
      <c r="P49" s="117" t="n"/>
      <c r="Q49" s="64" t="n"/>
      <c r="R49" s="103" t="n"/>
    </row>
    <row r="50" ht="13" customHeight="1" thickBot="1">
      <c r="A50" s="51" t="n"/>
      <c r="B50" s="18" t="n"/>
      <c r="C50" s="10" t="inlineStr">
        <is>
          <t xml:space="preserve">         Pre-Cals. Checked By.</t>
        </is>
      </c>
      <c r="D50" s="379" t="inlineStr">
        <is>
          <t>C. Dondo</t>
        </is>
      </c>
      <c r="E50" s="547" t="n"/>
      <c r="F50" s="54" t="n"/>
      <c r="G50" s="54" t="n"/>
      <c r="H50" s="54" t="n"/>
      <c r="I50" s="54" t="n"/>
      <c r="J50" s="19" t="n"/>
      <c r="K50" s="54" t="n"/>
      <c r="L50" s="54" t="n"/>
      <c r="M50" s="54" t="n"/>
      <c r="N50" s="54" t="n"/>
      <c r="O50" s="54" t="n"/>
      <c r="P50" s="54" t="n"/>
      <c r="Q50" s="54" t="n"/>
      <c r="R50" s="49" t="n"/>
    </row>
    <row r="51">
      <c r="A51" s="51" t="n"/>
      <c r="B51" s="18" t="n"/>
      <c r="C51" s="54" t="n"/>
      <c r="D51" s="54" t="n"/>
      <c r="E51" s="10" t="n"/>
      <c r="F51" s="10" t="n"/>
      <c r="G51" s="10" t="n"/>
      <c r="H51" s="10" t="n"/>
      <c r="I51" s="10" t="n"/>
      <c r="J51" s="10" t="n"/>
      <c r="K51" s="10" t="n"/>
      <c r="L51" s="10" t="n"/>
      <c r="M51" s="10" t="n"/>
      <c r="N51" s="10" t="n"/>
      <c r="O51" s="54" t="n"/>
      <c r="P51" s="54" t="n"/>
      <c r="Q51" s="394" t="n"/>
      <c r="R51" s="49" t="n"/>
    </row>
    <row r="52" ht="13" customHeight="1" thickBot="1">
      <c r="A52" s="51" t="n"/>
      <c r="B52" s="18" t="n"/>
      <c r="C52" s="54" t="n"/>
      <c r="D52" s="54" t="n"/>
      <c r="E52" s="10" t="n"/>
      <c r="F52" s="18" t="inlineStr">
        <is>
          <t>DEVT No.</t>
        </is>
      </c>
      <c r="G52" s="381" t="inlineStr">
        <is>
          <t>Make / Model</t>
        </is>
      </c>
      <c r="H52" s="461" t="n"/>
      <c r="I52" s="461" t="n"/>
      <c r="J52" s="384" t="inlineStr">
        <is>
          <t>Calibration Due</t>
        </is>
      </c>
      <c r="K52" s="509" t="n"/>
      <c r="L52" s="509" t="n"/>
      <c r="M52" s="10" t="n"/>
      <c r="N52" s="548" t="inlineStr">
        <is>
          <t xml:space="preserve">Set Points are </t>
        </is>
      </c>
      <c r="O52" s="119" t="inlineStr">
        <is>
          <t>20 and 100 °C</t>
        </is>
      </c>
      <c r="P52" s="120" t="n"/>
      <c r="Q52" s="54" t="n"/>
      <c r="R52" s="49" t="n"/>
    </row>
    <row r="53" ht="13" customHeight="1" thickBot="1">
      <c r="A53" s="51" t="n"/>
      <c r="B53" s="18" t="n"/>
      <c r="C53" s="54" t="n"/>
      <c r="D53" s="54" t="n"/>
      <c r="E53" s="10" t="inlineStr">
        <is>
          <t xml:space="preserve">Temperature Simulator Used. </t>
        </is>
      </c>
      <c r="F53" s="379" t="n">
        <v>105</v>
      </c>
      <c r="G53" s="386" t="inlineStr">
        <is>
          <t>Druck DPI620</t>
        </is>
      </c>
      <c r="H53" s="471" t="n"/>
      <c r="I53" s="547" t="n"/>
      <c r="J53" s="549" t="n">
        <v>44891</v>
      </c>
      <c r="K53" s="471" t="n"/>
      <c r="L53" s="547" t="n"/>
      <c r="M53" s="10" t="n"/>
      <c r="N53" s="10" t="n"/>
      <c r="O53" s="18" t="n"/>
      <c r="P53" s="8" t="n"/>
      <c r="Q53" s="8" t="n"/>
      <c r="R53" s="49" t="n"/>
    </row>
    <row r="54" ht="13" customHeight="1" thickBot="1">
      <c r="A54" s="74" t="n"/>
      <c r="B54" s="75" t="n"/>
      <c r="C54" s="75" t="n"/>
      <c r="D54" s="75" t="n"/>
      <c r="E54" s="75" t="n"/>
      <c r="F54" s="75" t="n"/>
      <c r="G54" s="75" t="n"/>
      <c r="H54" s="75" t="n"/>
      <c r="I54" s="75" t="n"/>
      <c r="J54" s="75" t="n"/>
      <c r="K54" s="75" t="n"/>
      <c r="L54" s="75" t="n"/>
      <c r="M54" s="75" t="n"/>
      <c r="N54" s="57" t="n"/>
      <c r="O54" s="75" t="n"/>
      <c r="P54" s="75" t="n"/>
      <c r="Q54" s="75" t="n"/>
      <c r="R54" s="58" t="n"/>
    </row>
    <row r="55" ht="13" customHeight="1" thickTop="1">
      <c r="A55" s="394" t="n"/>
      <c r="B55" s="394" t="n"/>
      <c r="C55" s="394" t="n"/>
      <c r="D55" s="394" t="n"/>
      <c r="E55" s="394" t="n"/>
      <c r="F55" s="394" t="n"/>
      <c r="G55" s="394" t="n"/>
      <c r="H55" s="394" t="n"/>
      <c r="I55" s="394" t="n"/>
      <c r="J55" s="394" t="n"/>
      <c r="K55" s="394" t="n"/>
      <c r="L55" s="394" t="n"/>
      <c r="M55" s="394" t="n"/>
      <c r="N55" s="394" t="n"/>
      <c r="O55" s="394" t="n"/>
      <c r="P55" s="394" t="n"/>
      <c r="Q55" s="394" t="n"/>
      <c r="R55" s="394" t="n"/>
    </row>
  </sheetData>
  <mergeCells count="24">
    <mergeCell ref="P4:Q4"/>
    <mergeCell ref="D35:H35"/>
    <mergeCell ref="F4:G4"/>
    <mergeCell ref="G53:I53"/>
    <mergeCell ref="K31:M31"/>
    <mergeCell ref="J26:L26"/>
    <mergeCell ref="P31:Q31"/>
    <mergeCell ref="C35:C36"/>
    <mergeCell ref="J25:L25"/>
    <mergeCell ref="A2:R2"/>
    <mergeCell ref="G26:I26"/>
    <mergeCell ref="L8:P8"/>
    <mergeCell ref="G25:I25"/>
    <mergeCell ref="L35:P35"/>
    <mergeCell ref="A29:R29"/>
    <mergeCell ref="C8:C9"/>
    <mergeCell ref="K4:M4"/>
    <mergeCell ref="J52:L52"/>
    <mergeCell ref="F31:G31"/>
    <mergeCell ref="G52:I52"/>
    <mergeCell ref="D8:H8"/>
    <mergeCell ref="D23:E23"/>
    <mergeCell ref="D50:E50"/>
    <mergeCell ref="J53:L53"/>
  </mergeCells>
  <conditionalFormatting sqref="L21:O22 L37:O48">
    <cfRule type="cellIs" priority="64" operator="notBetween" dxfId="1" stopIfTrue="1">
      <formula>L$9-0.5</formula>
      <formula>L$9+0.5</formula>
    </cfRule>
    <cfRule type="cellIs" priority="65" operator="notBetween" dxfId="0" stopIfTrue="1">
      <formula>L$9-0.3</formula>
      <formula>L$9+0.3</formula>
    </cfRule>
  </conditionalFormatting>
  <conditionalFormatting sqref="P21:P22 P37:P48">
    <cfRule type="cellIs" priority="57" operator="notBetween" dxfId="0" stopIfTrue="1">
      <formula>P$9-0.3</formula>
      <formula>P$9+0.3</formula>
    </cfRule>
    <cfRule type="cellIs" priority="62" operator="notBetween" dxfId="1" stopIfTrue="1">
      <formula>P$9-0.5</formula>
      <formula>P$9+0.5</formula>
    </cfRule>
  </conditionalFormatting>
  <conditionalFormatting sqref="P17:P20">
    <cfRule type="cellIs" priority="35" operator="notBetween" dxfId="1" stopIfTrue="1">
      <formula>P$9-0.5</formula>
      <formula>P$9+0.5</formula>
    </cfRule>
    <cfRule type="cellIs" priority="36" operator="notBetween" dxfId="0" stopIfTrue="1">
      <formula>P$9-0.3</formula>
      <formula>P$9+0.3</formula>
    </cfRule>
  </conditionalFormatting>
  <conditionalFormatting sqref="D11:H22">
    <cfRule type="cellIs" priority="58" operator="notBetween" dxfId="0" stopIfTrue="1">
      <formula>D$9-0.3</formula>
      <formula>D$9+0.3</formula>
    </cfRule>
    <cfRule type="cellIs" priority="66" operator="notBetween" dxfId="1" stopIfTrue="1">
      <formula>D$9-0.5</formula>
      <formula>D$9+0.5</formula>
    </cfRule>
  </conditionalFormatting>
  <conditionalFormatting sqref="I11:I22">
    <cfRule type="containsText" priority="55" operator="containsText" dxfId="46" stopIfTrue="1" text="P">
      <formula>NOT(ISERROR(SEARCH("P",I11)))</formula>
    </cfRule>
    <cfRule type="containsText" priority="56" operator="containsText" dxfId="45" stopIfTrue="1" text="F">
      <formula>NOT(ISERROR(SEARCH("F",I11)))</formula>
    </cfRule>
  </conditionalFormatting>
  <conditionalFormatting sqref="D10:H10">
    <cfRule type="cellIs" priority="53" operator="notBetween" dxfId="1" stopIfTrue="1">
      <formula>D$9-0.5</formula>
      <formula>D$9+0.5</formula>
    </cfRule>
    <cfRule type="cellIs" priority="54" operator="notBetween" dxfId="0" stopIfTrue="1">
      <formula>D$9-0.3</formula>
      <formula>D$9+0.3</formula>
    </cfRule>
  </conditionalFormatting>
  <conditionalFormatting sqref="I10">
    <cfRule type="containsText" priority="51" operator="containsText" dxfId="46" stopIfTrue="1" text="P">
      <formula>NOT(ISERROR(SEARCH("P",I10)))</formula>
    </cfRule>
    <cfRule type="containsText" priority="52" operator="containsText" dxfId="45" stopIfTrue="1" text="F">
      <formula>NOT(ISERROR(SEARCH("F",I10)))</formula>
    </cfRule>
  </conditionalFormatting>
  <conditionalFormatting sqref="L10:O10 L21:O21">
    <cfRule type="cellIs" priority="49" operator="notBetween" dxfId="1" stopIfTrue="1">
      <formula>L$9-0.5</formula>
      <formula>L$9+0.5</formula>
    </cfRule>
    <cfRule type="cellIs" priority="50" operator="notBetween" dxfId="0" stopIfTrue="1">
      <formula>L$9-0.3</formula>
      <formula>L$9+0.3</formula>
    </cfRule>
  </conditionalFormatting>
  <conditionalFormatting sqref="P10 P21">
    <cfRule type="cellIs" priority="47" operator="notBetween" dxfId="1" stopIfTrue="1">
      <formula>P$9-0.5</formula>
      <formula>P$9+0.5</formula>
    </cfRule>
    <cfRule type="cellIs" priority="48" operator="notBetween" dxfId="0" stopIfTrue="1">
      <formula>P$9-0.3</formula>
      <formula>P$9+0.3</formula>
    </cfRule>
  </conditionalFormatting>
  <conditionalFormatting sqref="L11:O14">
    <cfRule type="cellIs" priority="45" operator="notBetween" dxfId="1" stopIfTrue="1">
      <formula>L$9-0.5</formula>
      <formula>L$9+0.5</formula>
    </cfRule>
    <cfRule type="cellIs" priority="46" operator="notBetween" dxfId="0" stopIfTrue="1">
      <formula>L$9-0.3</formula>
      <formula>L$9+0.3</formula>
    </cfRule>
  </conditionalFormatting>
  <conditionalFormatting sqref="P11:P14">
    <cfRule type="cellIs" priority="43" operator="notBetween" dxfId="1" stopIfTrue="1">
      <formula>P$9-0.5</formula>
      <formula>P$9+0.5</formula>
    </cfRule>
    <cfRule type="cellIs" priority="44" operator="notBetween" dxfId="0" stopIfTrue="1">
      <formula>P$9-0.3</formula>
      <formula>P$9+0.3</formula>
    </cfRule>
  </conditionalFormatting>
  <conditionalFormatting sqref="L15:O16">
    <cfRule type="cellIs" priority="41" operator="notBetween" dxfId="1" stopIfTrue="1">
      <formula>L$9-0.5</formula>
      <formula>L$9+0.5</formula>
    </cfRule>
    <cfRule type="cellIs" priority="42" operator="notBetween" dxfId="0" stopIfTrue="1">
      <formula>L$9-0.3</formula>
      <formula>L$9+0.3</formula>
    </cfRule>
  </conditionalFormatting>
  <conditionalFormatting sqref="P15:P16">
    <cfRule type="cellIs" priority="39" operator="notBetween" dxfId="1" stopIfTrue="1">
      <formula>P$9-0.5</formula>
      <formula>P$9+0.5</formula>
    </cfRule>
    <cfRule type="cellIs" priority="40" operator="notBetween" dxfId="0" stopIfTrue="1">
      <formula>P$9-0.3</formula>
      <formula>P$9+0.3</formula>
    </cfRule>
  </conditionalFormatting>
  <conditionalFormatting sqref="L17:O20">
    <cfRule type="cellIs" priority="37" operator="notBetween" dxfId="1" stopIfTrue="1">
      <formula>L$9-0.5</formula>
      <formula>L$9+0.5</formula>
    </cfRule>
    <cfRule type="cellIs" priority="38" operator="notBetween" dxfId="0" stopIfTrue="1">
      <formula>L$9-0.3</formula>
      <formula>L$9+0.3</formula>
    </cfRule>
  </conditionalFormatting>
  <conditionalFormatting sqref="D37:H48">
    <cfRule type="cellIs" priority="29" operator="notBetween" dxfId="1" stopIfTrue="1">
      <formula>D$9-0.5</formula>
      <formula>D$9+0.5</formula>
    </cfRule>
    <cfRule type="cellIs" priority="30" operator="notBetween" dxfId="0" stopIfTrue="1">
      <formula>D$9-0.3</formula>
      <formula>D$9+0.3</formula>
    </cfRule>
  </conditionalFormatting>
  <conditionalFormatting sqref="D49:H49 L49:O49">
    <cfRule type="cellIs" priority="31" operator="notBetween" dxfId="1" stopIfTrue="1">
      <formula>#REF!-0.5</formula>
      <formula>#REF!+0.5</formula>
    </cfRule>
    <cfRule type="cellIs" priority="32" operator="notBetween" dxfId="0" stopIfTrue="1">
      <formula>#REF!-0.3</formula>
      <formula>#REF!+0.3</formula>
    </cfRule>
  </conditionalFormatting>
  <conditionalFormatting sqref="P49">
    <cfRule type="cellIs" priority="28" operator="notBetween" dxfId="0" stopIfTrue="1">
      <formula>#REF!-0.3</formula>
      <formula>#REF!+0.3</formula>
    </cfRule>
    <cfRule type="cellIs" priority="33" operator="notBetween" dxfId="1" stopIfTrue="1">
      <formula>#REF!-0.5</formula>
      <formula>#REF!+0.5</formula>
    </cfRule>
  </conditionalFormatting>
  <conditionalFormatting sqref="I37:I49">
    <cfRule type="containsText" priority="25" operator="containsText" dxfId="46" stopIfTrue="1" text="P">
      <formula>NOT(ISERROR(SEARCH("P",I37)))</formula>
    </cfRule>
    <cfRule type="containsText" priority="26" operator="containsText" dxfId="45" stopIfTrue="1" text="F">
      <formula>NOT(ISERROR(SEARCH("F",I37)))</formula>
    </cfRule>
  </conditionalFormatting>
  <dataValidations count="2">
    <dataValidation sqref="P4 P31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I10:I22 I37:I49" showDropDown="0" showInputMessage="1" showErrorMessage="1" allowBlank="0" type="list">
      <formula1>"Pass,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89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27" min="0" max="16383" man="1"/>
  </rowBreak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12">
    <tabColor rgb="FFE0E0E0"/>
    <outlinePr summaryBelow="1" summaryRight="1"/>
    <pageSetUpPr fitToPage="1"/>
  </sheetPr>
  <dimension ref="A1:R62"/>
  <sheetViews>
    <sheetView zoomScaleNormal="100" workbookViewId="0">
      <selection activeCell="J66" sqref="J66"/>
    </sheetView>
  </sheetViews>
  <sheetFormatPr baseColWidth="8" defaultColWidth="9.1796875" defaultRowHeight="12.5"/>
  <cols>
    <col width="5.7265625" customWidth="1" style="1" min="1" max="2"/>
    <col width="18" customWidth="1" style="1" min="3" max="3"/>
    <col width="8.7265625" customWidth="1" style="1" min="4" max="9"/>
    <col width="5.7265625" customWidth="1" style="1" min="10" max="10"/>
    <col width="3.7265625" customWidth="1" style="1" min="11" max="11"/>
    <col width="8.7265625" customWidth="1" style="1" min="12" max="15"/>
    <col width="16.26953125" bestFit="1" customWidth="1" style="1" min="16" max="16"/>
    <col width="13.453125" customWidth="1" style="1" min="17" max="17"/>
    <col width="5.7265625" customWidth="1" style="1" min="18" max="18"/>
    <col width="9.1796875" customWidth="1" style="1" min="19" max="16384"/>
  </cols>
  <sheetData>
    <row r="1" ht="15" customFormat="1" customHeight="1" s="5" thickTop="1">
      <c r="A1" s="60" t="n"/>
      <c r="B1" s="61" t="n"/>
      <c r="C1" s="61" t="n"/>
      <c r="D1" s="61" t="n"/>
      <c r="E1" s="61" t="n"/>
      <c r="F1" s="61" t="n"/>
      <c r="G1" s="61" t="n"/>
      <c r="H1" s="61" t="n"/>
      <c r="I1" s="61" t="n"/>
      <c r="J1" s="61" t="n"/>
      <c r="K1" s="61" t="n"/>
      <c r="L1" s="61" t="n"/>
      <c r="M1" s="101" t="n"/>
      <c r="N1" s="101" t="n"/>
      <c r="O1" s="101" t="n"/>
      <c r="P1" s="101" t="n"/>
      <c r="Q1" s="101" t="n"/>
      <c r="R1" s="102" t="n"/>
    </row>
    <row r="2" ht="25" customFormat="1" customHeight="1" s="5">
      <c r="A2" s="530" t="inlineStr">
        <is>
          <t>Test Bed High Temperature Measurement Calibration</t>
        </is>
      </c>
      <c r="B2" s="461" t="n"/>
      <c r="C2" s="461" t="n"/>
      <c r="D2" s="461" t="n"/>
      <c r="E2" s="461" t="n"/>
      <c r="F2" s="461" t="n"/>
      <c r="G2" s="461" t="n"/>
      <c r="H2" s="461" t="n"/>
      <c r="I2" s="461" t="n"/>
      <c r="J2" s="461" t="n"/>
      <c r="K2" s="461" t="n"/>
      <c r="L2" s="461" t="n"/>
      <c r="M2" s="461" t="n"/>
      <c r="N2" s="461" t="n"/>
      <c r="O2" s="461" t="n"/>
      <c r="P2" s="461" t="n"/>
      <c r="Q2" s="461" t="n"/>
      <c r="R2" s="495" t="n"/>
    </row>
    <row r="3" ht="20.5" customFormat="1" customHeight="1" s="2" thickBot="1">
      <c r="A3" s="131" t="n"/>
      <c r="B3" s="130" t="n"/>
      <c r="C3" s="128" t="n"/>
      <c r="D3" s="129" t="n"/>
      <c r="E3" s="129" t="n"/>
      <c r="F3" s="128" t="n"/>
      <c r="G3" s="128" t="n"/>
      <c r="H3" s="128" t="n"/>
      <c r="I3" s="128" t="n"/>
      <c r="J3" s="128" t="n"/>
      <c r="K3" s="128" t="n"/>
      <c r="L3" s="128" t="n"/>
      <c r="M3" s="127" t="n"/>
      <c r="N3" s="127" t="n"/>
      <c r="O3" s="127" t="n"/>
      <c r="P3" s="127" t="n"/>
      <c r="Q3" s="127" t="n"/>
      <c r="R3" s="126" t="n"/>
    </row>
    <row r="4" ht="16" customFormat="1" customHeight="1" s="2" thickBot="1">
      <c r="A4" s="48" t="n"/>
      <c r="B4" s="10" t="inlineStr">
        <is>
          <t xml:space="preserve">Job No. </t>
        </is>
      </c>
      <c r="C4" s="194">
        <f>Title!C4</f>
        <v/>
      </c>
      <c r="D4" s="7" t="n"/>
      <c r="E4" s="10" t="inlineStr">
        <is>
          <t xml:space="preserve">Calibrated By. </t>
        </is>
      </c>
      <c r="F4" s="16">
        <f>Title!C3</f>
        <v/>
      </c>
      <c r="G4" s="472" t="n"/>
      <c r="H4" s="7" t="n"/>
      <c r="I4" s="7" t="n"/>
      <c r="J4" s="10" t="inlineStr">
        <is>
          <t xml:space="preserve">Calibration Date. </t>
        </is>
      </c>
      <c r="K4" s="531">
        <f>Title!C9</f>
        <v/>
      </c>
      <c r="L4" s="471" t="n"/>
      <c r="M4" s="472" t="n"/>
      <c r="N4" s="8" t="n"/>
      <c r="O4" s="10" t="inlineStr">
        <is>
          <t>Bed No.</t>
        </is>
      </c>
      <c r="P4" s="474">
        <f>Title!F3</f>
        <v/>
      </c>
      <c r="Q4" s="472" t="n"/>
      <c r="R4" s="65" t="n"/>
    </row>
    <row r="5" ht="15" customFormat="1" customHeight="1" s="2">
      <c r="A5" s="48" t="n"/>
      <c r="B5" s="7" t="n"/>
      <c r="C5" s="7" t="n"/>
      <c r="D5" s="10" t="n"/>
      <c r="E5" s="10" t="n"/>
      <c r="F5" s="7" t="n"/>
      <c r="G5" s="10" t="n"/>
      <c r="H5" s="8" t="n"/>
      <c r="I5" s="8" t="n"/>
      <c r="J5" s="18" t="n"/>
      <c r="K5" s="8" t="n"/>
      <c r="L5" s="8" t="n"/>
      <c r="M5" s="8" t="n"/>
      <c r="N5" s="8" t="n"/>
      <c r="O5" s="8" t="n"/>
      <c r="P5" s="8" t="n"/>
      <c r="Q5" s="8" t="n"/>
      <c r="R5" s="49" t="n"/>
    </row>
    <row r="6" ht="15" customFormat="1" customHeight="1" s="4">
      <c r="A6" s="47" t="inlineStr">
        <is>
          <t>Acceptable Deviation: +/- 5°C, adjust if error &gt;4°C</t>
        </is>
      </c>
      <c r="B6" s="21" t="n"/>
      <c r="C6" s="21" t="n"/>
      <c r="D6" s="21" t="n"/>
      <c r="E6" s="21" t="n"/>
      <c r="F6" s="21" t="n"/>
      <c r="G6" s="21" t="n"/>
      <c r="H6" s="78" t="n"/>
      <c r="I6" s="21" t="n"/>
      <c r="J6" s="21" t="n"/>
      <c r="K6" s="21" t="n"/>
      <c r="L6" s="21" t="n"/>
      <c r="M6" s="21" t="n"/>
      <c r="N6" s="21" t="n"/>
      <c r="O6" s="21" t="n"/>
      <c r="P6" s="21" t="n"/>
      <c r="Q6" s="21" t="n"/>
      <c r="R6" s="50" t="n"/>
    </row>
    <row r="7" ht="15" customFormat="1" customHeight="1" s="2" thickBot="1">
      <c r="A7" s="48" t="n"/>
      <c r="B7" s="383" t="n"/>
      <c r="C7" s="7" t="n"/>
      <c r="D7" s="7" t="n"/>
      <c r="E7" s="7" t="n"/>
      <c r="F7" s="7" t="n"/>
      <c r="G7" s="7" t="n"/>
      <c r="H7" s="7" t="n"/>
      <c r="I7" s="7" t="n"/>
      <c r="J7" s="7" t="n"/>
      <c r="K7" s="8" t="n"/>
      <c r="L7" s="8" t="n"/>
      <c r="M7" s="8" t="n"/>
      <c r="N7" s="8" t="n"/>
      <c r="O7" s="8" t="n"/>
      <c r="P7" s="8" t="n"/>
      <c r="Q7" s="8" t="n"/>
      <c r="R7" s="49" t="n"/>
    </row>
    <row r="8" ht="15" customFormat="1" customHeight="1" s="2">
      <c r="A8" s="51" t="n"/>
      <c r="B8" s="107" t="inlineStr">
        <is>
          <t>Chan.</t>
        </is>
      </c>
      <c r="C8" s="532" t="inlineStr">
        <is>
          <t>Channel Name</t>
        </is>
      </c>
      <c r="D8" s="533" t="inlineStr">
        <is>
          <t>Pre-Calibration Set Points °C.</t>
        </is>
      </c>
      <c r="E8" s="534" t="n"/>
      <c r="F8" s="534" t="n"/>
      <c r="G8" s="534" t="n"/>
      <c r="H8" s="535" t="n"/>
      <c r="I8" s="108" t="inlineStr">
        <is>
          <t>Pass/Fail</t>
        </is>
      </c>
      <c r="J8" s="7" t="n"/>
      <c r="K8" s="8" t="n"/>
      <c r="L8" s="533" t="inlineStr">
        <is>
          <t>Post-Calibration Set Points °C.</t>
        </is>
      </c>
      <c r="M8" s="534" t="n"/>
      <c r="N8" s="534" t="n"/>
      <c r="O8" s="534" t="n"/>
      <c r="P8" s="535" t="n"/>
      <c r="Q8" s="8" t="n"/>
      <c r="R8" s="49" t="n"/>
    </row>
    <row r="9" ht="15" customFormat="1" customHeight="1" s="2" thickBot="1">
      <c r="A9" s="51" t="n"/>
      <c r="B9" s="109" t="inlineStr">
        <is>
          <t>No.</t>
        </is>
      </c>
      <c r="C9" s="536" t="n"/>
      <c r="D9" s="537" t="n">
        <v>0</v>
      </c>
      <c r="E9" s="550" t="n">
        <v>250</v>
      </c>
      <c r="F9" s="538" t="n">
        <v>500</v>
      </c>
      <c r="G9" s="538" t="n">
        <v>750</v>
      </c>
      <c r="H9" s="538" t="n">
        <v>1000</v>
      </c>
      <c r="I9" s="143" t="inlineStr">
        <is>
          <t>(P/F)</t>
        </is>
      </c>
      <c r="J9" s="7" t="n"/>
      <c r="K9" s="8" t="n"/>
      <c r="L9" s="537" t="n">
        <v>0</v>
      </c>
      <c r="M9" s="538" t="n">
        <v>250</v>
      </c>
      <c r="N9" s="538" t="n">
        <v>500</v>
      </c>
      <c r="O9" s="538" t="n">
        <v>750</v>
      </c>
      <c r="P9" s="540" t="n">
        <v>1000</v>
      </c>
      <c r="Q9" s="8" t="n"/>
      <c r="R9" s="49" t="n"/>
    </row>
    <row r="10" ht="15" customFormat="1" customHeight="1" s="2">
      <c r="A10" s="51" t="n"/>
      <c r="B10" s="114" t="n">
        <v>1</v>
      </c>
      <c r="C10" s="246" t="inlineStr">
        <is>
          <t>T1</t>
        </is>
      </c>
      <c r="D10" s="541" t="n">
        <v>0</v>
      </c>
      <c r="E10" s="542" t="n">
        <v>250.3</v>
      </c>
      <c r="F10" s="542" t="n">
        <v>501.2</v>
      </c>
      <c r="G10" s="542" t="n">
        <v>749.6</v>
      </c>
      <c r="H10" s="542" t="n">
        <v>998.6</v>
      </c>
      <c r="I10" s="144" t="inlineStr">
        <is>
          <t>Pass</t>
        </is>
      </c>
      <c r="J10" s="7" t="n"/>
      <c r="K10" s="8" t="n"/>
      <c r="L10" s="541" t="n"/>
      <c r="M10" s="542" t="n"/>
      <c r="N10" s="542" t="n"/>
      <c r="O10" s="542" t="n"/>
      <c r="P10" s="546" t="n"/>
      <c r="Q10" s="8" t="n"/>
      <c r="R10" s="49" t="n"/>
    </row>
    <row r="11" ht="15" customFormat="1" customHeight="1" s="2">
      <c r="A11" s="51" t="n"/>
      <c r="B11" s="114" t="n">
        <v>2</v>
      </c>
      <c r="C11" s="246" t="inlineStr">
        <is>
          <t>T2</t>
        </is>
      </c>
      <c r="D11" s="541" t="n">
        <v>0</v>
      </c>
      <c r="E11" s="542" t="n">
        <v>249</v>
      </c>
      <c r="F11" s="542" t="n">
        <v>499.8</v>
      </c>
      <c r="G11" s="542" t="n">
        <v>749.1</v>
      </c>
      <c r="H11" s="542" t="n">
        <v>999</v>
      </c>
      <c r="I11" s="144" t="inlineStr">
        <is>
          <t>Pass</t>
        </is>
      </c>
      <c r="J11" s="7" t="n"/>
      <c r="K11" s="8" t="n"/>
      <c r="L11" s="541" t="n"/>
      <c r="M11" s="542" t="n"/>
      <c r="N11" s="542" t="n"/>
      <c r="O11" s="542" t="n"/>
      <c r="P11" s="546" t="n"/>
      <c r="Q11" s="8" t="n"/>
      <c r="R11" s="49" t="n"/>
    </row>
    <row r="12" ht="15" customFormat="1" customHeight="1" s="2">
      <c r="A12" s="51" t="n"/>
      <c r="B12" s="114" t="n">
        <v>3</v>
      </c>
      <c r="C12" s="246" t="inlineStr">
        <is>
          <t>T3</t>
        </is>
      </c>
      <c r="D12" s="541" t="n">
        <v>0</v>
      </c>
      <c r="E12" s="542" t="n">
        <v>249.6</v>
      </c>
      <c r="F12" s="542" t="n">
        <v>500.2</v>
      </c>
      <c r="G12" s="542" t="n">
        <v>749.5</v>
      </c>
      <c r="H12" s="542" t="n">
        <v>999.1</v>
      </c>
      <c r="I12" s="144" t="inlineStr">
        <is>
          <t>Pass</t>
        </is>
      </c>
      <c r="J12" s="7" t="n"/>
      <c r="K12" s="8" t="n"/>
      <c r="L12" s="541" t="n"/>
      <c r="M12" s="542" t="n"/>
      <c r="N12" s="542" t="n"/>
      <c r="O12" s="542" t="n"/>
      <c r="P12" s="546" t="n"/>
      <c r="Q12" s="8" t="n"/>
      <c r="R12" s="49" t="n"/>
    </row>
    <row r="13" ht="15" customFormat="1" customHeight="1" s="2">
      <c r="A13" s="51" t="n"/>
      <c r="B13" s="114" t="n">
        <v>4</v>
      </c>
      <c r="C13" s="246" t="inlineStr">
        <is>
          <t>T4</t>
        </is>
      </c>
      <c r="D13" s="541" t="n">
        <v>0</v>
      </c>
      <c r="E13" s="542" t="n">
        <v>250.4</v>
      </c>
      <c r="F13" s="542" t="n">
        <v>499.5</v>
      </c>
      <c r="G13" s="542" t="n">
        <v>748.5</v>
      </c>
      <c r="H13" s="542" t="n">
        <v>999.7</v>
      </c>
      <c r="I13" s="144" t="inlineStr">
        <is>
          <t>Pass</t>
        </is>
      </c>
      <c r="J13" s="7" t="n"/>
      <c r="K13" s="8" t="n"/>
      <c r="L13" s="541" t="n"/>
      <c r="M13" s="542" t="n"/>
      <c r="N13" s="542" t="n"/>
      <c r="O13" s="542" t="n"/>
      <c r="P13" s="546" t="n"/>
      <c r="Q13" s="8" t="n"/>
      <c r="R13" s="49" t="n"/>
    </row>
    <row r="14" ht="15" customFormat="1" customHeight="1" s="2">
      <c r="A14" s="51" t="n"/>
      <c r="B14" s="114" t="n">
        <v>5</v>
      </c>
      <c r="C14" s="246" t="inlineStr">
        <is>
          <t>T5</t>
        </is>
      </c>
      <c r="D14" s="541" t="n">
        <v>1</v>
      </c>
      <c r="E14" s="542" t="n">
        <v>251.3</v>
      </c>
      <c r="F14" s="542" t="n">
        <v>499.4</v>
      </c>
      <c r="G14" s="542" t="n">
        <v>749.7</v>
      </c>
      <c r="H14" s="542" t="n">
        <v>1000.2</v>
      </c>
      <c r="I14" s="144" t="inlineStr">
        <is>
          <t>Pass</t>
        </is>
      </c>
      <c r="J14" s="7" t="n"/>
      <c r="K14" s="8" t="n"/>
      <c r="L14" s="541" t="n"/>
      <c r="M14" s="542" t="n"/>
      <c r="N14" s="542" t="n"/>
      <c r="O14" s="542" t="n"/>
      <c r="P14" s="546" t="n"/>
      <c r="Q14" s="8" t="n"/>
      <c r="R14" s="49" t="n"/>
    </row>
    <row r="15" ht="15" customFormat="1" customHeight="1" s="2">
      <c r="A15" s="51" t="n"/>
      <c r="B15" s="114" t="n">
        <v>6</v>
      </c>
      <c r="C15" s="246" t="inlineStr">
        <is>
          <t>T6</t>
        </is>
      </c>
      <c r="D15" s="541" t="n">
        <v>0.5</v>
      </c>
      <c r="E15" s="542" t="n">
        <v>249.9</v>
      </c>
      <c r="F15" s="542" t="n">
        <v>499.9</v>
      </c>
      <c r="G15" s="542" t="n">
        <v>749.2</v>
      </c>
      <c r="H15" s="542" t="n">
        <v>1001.1</v>
      </c>
      <c r="I15" s="144" t="inlineStr">
        <is>
          <t>Pass</t>
        </is>
      </c>
      <c r="J15" s="7" t="n"/>
      <c r="K15" s="8" t="n"/>
      <c r="L15" s="541" t="n"/>
      <c r="M15" s="542" t="n"/>
      <c r="N15" s="542" t="n"/>
      <c r="O15" s="542" t="n"/>
      <c r="P15" s="546" t="n"/>
      <c r="Q15" s="8" t="n"/>
      <c r="R15" s="49" t="n"/>
    </row>
    <row r="16" ht="15" customFormat="1" customHeight="1" s="2">
      <c r="A16" s="51" t="n"/>
      <c r="B16" s="114" t="n">
        <v>7</v>
      </c>
      <c r="C16" s="246" t="inlineStr">
        <is>
          <t>T7</t>
        </is>
      </c>
      <c r="D16" s="541" t="n">
        <v>2.5</v>
      </c>
      <c r="E16" s="542" t="n">
        <v>247.4</v>
      </c>
      <c r="F16" s="542" t="n">
        <v>503.3</v>
      </c>
      <c r="G16" s="542" t="n">
        <v>745.7</v>
      </c>
      <c r="H16" s="542" t="n">
        <v>995.4</v>
      </c>
      <c r="I16" s="144" t="inlineStr">
        <is>
          <t>Fail</t>
        </is>
      </c>
      <c r="J16" s="7" t="n"/>
      <c r="K16" s="8" t="n"/>
      <c r="L16" s="541" t="n"/>
      <c r="M16" s="542" t="n"/>
      <c r="N16" s="542" t="n"/>
      <c r="O16" s="542" t="n"/>
      <c r="P16" s="546" t="n"/>
      <c r="Q16" s="8" t="n"/>
      <c r="R16" s="49" t="n"/>
    </row>
    <row r="17" ht="15" customFormat="1" customHeight="1" s="2">
      <c r="A17" s="51" t="n"/>
      <c r="B17" s="114" t="n">
        <v>8</v>
      </c>
      <c r="C17" s="246" t="inlineStr">
        <is>
          <t>T8</t>
        </is>
      </c>
      <c r="D17" s="541" t="n">
        <v>0</v>
      </c>
      <c r="E17" s="542" t="n">
        <v>250.9</v>
      </c>
      <c r="F17" s="542" t="n">
        <v>498</v>
      </c>
      <c r="G17" s="542" t="n">
        <v>749.2</v>
      </c>
      <c r="H17" s="542" t="n">
        <v>1001.6</v>
      </c>
      <c r="I17" s="144" t="inlineStr">
        <is>
          <t>Fail</t>
        </is>
      </c>
      <c r="J17" s="7" t="n"/>
      <c r="K17" s="8" t="n"/>
      <c r="L17" s="541" t="n"/>
      <c r="M17" s="542" t="n"/>
      <c r="N17" s="542" t="n"/>
      <c r="O17" s="542" t="n"/>
      <c r="P17" s="546" t="n"/>
      <c r="Q17" s="8" t="n"/>
      <c r="R17" s="49" t="n"/>
    </row>
    <row r="18" ht="15" customFormat="1" customHeight="1" s="2">
      <c r="A18" s="51" t="n"/>
      <c r="B18" s="114" t="n">
        <v>9</v>
      </c>
      <c r="C18" s="246" t="inlineStr">
        <is>
          <t>T9</t>
        </is>
      </c>
      <c r="D18" s="541" t="n">
        <v>0.2</v>
      </c>
      <c r="E18" s="542" t="n">
        <v>249.7</v>
      </c>
      <c r="F18" s="542" t="n">
        <v>499.9</v>
      </c>
      <c r="G18" s="542" t="n">
        <v>749.1</v>
      </c>
      <c r="H18" s="542" t="n">
        <v>1000.1</v>
      </c>
      <c r="I18" s="144" t="inlineStr">
        <is>
          <t>Pass</t>
        </is>
      </c>
      <c r="J18" s="7" t="n"/>
      <c r="K18" s="8" t="n"/>
      <c r="L18" s="541" t="n"/>
      <c r="M18" s="542" t="n"/>
      <c r="N18" s="542" t="n"/>
      <c r="O18" s="542" t="n"/>
      <c r="P18" s="546" t="n"/>
      <c r="Q18" s="8" t="n"/>
      <c r="R18" s="49" t="n"/>
    </row>
    <row r="19" ht="15" customFormat="1" customHeight="1" s="2">
      <c r="A19" s="51" t="n"/>
      <c r="B19" s="114" t="n">
        <v>10</v>
      </c>
      <c r="C19" s="246" t="inlineStr">
        <is>
          <t>T10</t>
        </is>
      </c>
      <c r="D19" s="541" t="n">
        <v>1.3</v>
      </c>
      <c r="E19" s="542" t="n">
        <v>250.4</v>
      </c>
      <c r="F19" s="542" t="n">
        <v>500.2</v>
      </c>
      <c r="G19" s="542" t="n">
        <v>750.3</v>
      </c>
      <c r="H19" s="542" t="n">
        <v>1000.7</v>
      </c>
      <c r="I19" s="144" t="inlineStr">
        <is>
          <t>Pass</t>
        </is>
      </c>
      <c r="J19" s="7" t="n"/>
      <c r="K19" s="8" t="n"/>
      <c r="L19" s="541" t="n"/>
      <c r="M19" s="542" t="n"/>
      <c r="N19" s="542" t="n"/>
      <c r="O19" s="542" t="n"/>
      <c r="P19" s="546" t="n"/>
      <c r="Q19" s="8" t="n"/>
      <c r="R19" s="49" t="n"/>
    </row>
    <row r="20" ht="15" customFormat="1" customHeight="1" s="2">
      <c r="A20" s="51" t="n"/>
      <c r="B20" s="114" t="n">
        <v>11</v>
      </c>
      <c r="C20" s="246" t="inlineStr">
        <is>
          <t>T11</t>
        </is>
      </c>
      <c r="D20" s="541" t="n">
        <v>1.1</v>
      </c>
      <c r="E20" s="542" t="n">
        <v>249.5</v>
      </c>
      <c r="F20" s="542" t="n">
        <v>500.7</v>
      </c>
      <c r="G20" s="542" t="n">
        <v>750.4</v>
      </c>
      <c r="H20" s="542" t="n">
        <v>1000.5</v>
      </c>
      <c r="I20" s="144" t="inlineStr">
        <is>
          <t>Pass</t>
        </is>
      </c>
      <c r="J20" s="7" t="n"/>
      <c r="K20" s="8" t="n"/>
      <c r="L20" s="541" t="n"/>
      <c r="M20" s="542" t="n"/>
      <c r="N20" s="542" t="n"/>
      <c r="O20" s="542" t="n"/>
      <c r="P20" s="546" t="n"/>
      <c r="Q20" s="8" t="n"/>
      <c r="R20" s="49" t="n"/>
    </row>
    <row r="21" ht="15" customFormat="1" customHeight="1" s="2">
      <c r="A21" s="51" t="n"/>
      <c r="B21" s="114" t="n">
        <v>12</v>
      </c>
      <c r="C21" s="246" t="inlineStr">
        <is>
          <t>T12</t>
        </is>
      </c>
      <c r="D21" s="541" t="n">
        <v>-0.2</v>
      </c>
      <c r="E21" s="542" t="n">
        <v>250</v>
      </c>
      <c r="F21" s="542" t="n">
        <v>499.9</v>
      </c>
      <c r="G21" s="542" t="n">
        <v>749.5</v>
      </c>
      <c r="H21" s="542" t="n">
        <v>999.9</v>
      </c>
      <c r="I21" s="144" t="inlineStr">
        <is>
          <t>Pass</t>
        </is>
      </c>
      <c r="J21" s="7" t="inlineStr">
        <is>
          <t>FREE</t>
        </is>
      </c>
      <c r="K21" s="8" t="n"/>
      <c r="L21" s="541" t="n"/>
      <c r="M21" s="542" t="n"/>
      <c r="N21" s="542" t="n"/>
      <c r="O21" s="542" t="n"/>
      <c r="P21" s="546" t="n"/>
      <c r="Q21" s="8" t="n"/>
      <c r="R21" s="49" t="n"/>
    </row>
    <row r="22" ht="15" customFormat="1" customHeight="1" s="2">
      <c r="A22" s="51" t="n"/>
      <c r="B22" s="114" t="n">
        <v>13</v>
      </c>
      <c r="C22" s="246" t="inlineStr">
        <is>
          <t>T13</t>
        </is>
      </c>
      <c r="D22" s="541" t="n">
        <v>0.2</v>
      </c>
      <c r="E22" s="542" t="n">
        <v>250.4</v>
      </c>
      <c r="F22" s="542" t="n">
        <v>499.7</v>
      </c>
      <c r="G22" s="542" t="n">
        <v>750</v>
      </c>
      <c r="H22" s="542" t="n">
        <v>1000.7</v>
      </c>
      <c r="I22" s="144" t="inlineStr">
        <is>
          <t>Pass</t>
        </is>
      </c>
      <c r="J22" s="7" t="inlineStr">
        <is>
          <t>FREE</t>
        </is>
      </c>
      <c r="K22" s="8" t="n"/>
      <c r="L22" s="541" t="n"/>
      <c r="M22" s="542" t="n"/>
      <c r="N22" s="542" t="n"/>
      <c r="O22" s="542" t="n"/>
      <c r="P22" s="546" t="n"/>
      <c r="Q22" s="8" t="n"/>
      <c r="R22" s="49" t="n"/>
    </row>
    <row r="23" ht="15" customFormat="1" customHeight="1" s="2">
      <c r="A23" s="51" t="n"/>
      <c r="B23" s="114" t="n">
        <v>14</v>
      </c>
      <c r="C23" s="246" t="inlineStr">
        <is>
          <t>T14</t>
        </is>
      </c>
      <c r="D23" s="541" t="n">
        <v>0.5</v>
      </c>
      <c r="E23" s="542" t="n">
        <v>250.3</v>
      </c>
      <c r="F23" s="542" t="n">
        <v>499.6</v>
      </c>
      <c r="G23" s="542" t="n">
        <v>750.1</v>
      </c>
      <c r="H23" s="542" t="n">
        <v>999.7</v>
      </c>
      <c r="I23" s="144" t="inlineStr">
        <is>
          <t>Pass</t>
        </is>
      </c>
      <c r="J23" s="7" t="inlineStr">
        <is>
          <t>FREE</t>
        </is>
      </c>
      <c r="K23" s="8" t="n"/>
      <c r="L23" s="541" t="n"/>
      <c r="M23" s="542" t="n"/>
      <c r="N23" s="542" t="n"/>
      <c r="O23" s="542" t="n"/>
      <c r="P23" s="546" t="n"/>
      <c r="Q23" s="8" t="n"/>
      <c r="R23" s="49" t="n"/>
    </row>
    <row r="24" ht="15" customFormat="1" customHeight="1" s="2">
      <c r="A24" s="51" t="n"/>
      <c r="B24" s="114" t="n">
        <v>15</v>
      </c>
      <c r="C24" s="246" t="inlineStr">
        <is>
          <t>T15</t>
        </is>
      </c>
      <c r="D24" s="541" t="n">
        <v>2.9</v>
      </c>
      <c r="E24" s="542" t="n">
        <v>246.5</v>
      </c>
      <c r="F24" s="542" t="n">
        <v>504</v>
      </c>
      <c r="G24" s="542" t="n">
        <v>745.7</v>
      </c>
      <c r="H24" s="542" t="n">
        <v>995.1</v>
      </c>
      <c r="I24" s="144" t="inlineStr">
        <is>
          <t>Fail</t>
        </is>
      </c>
      <c r="J24" s="7" t="n"/>
      <c r="K24" s="8" t="n"/>
      <c r="L24" s="541" t="n"/>
      <c r="M24" s="542" t="n"/>
      <c r="N24" s="542" t="n"/>
      <c r="O24" s="542" t="n"/>
      <c r="P24" s="546" t="n"/>
      <c r="Q24" s="8" t="n"/>
      <c r="R24" s="49" t="n"/>
    </row>
    <row r="25" ht="15" customFormat="1" customHeight="1" s="2">
      <c r="A25" s="51" t="n"/>
      <c r="B25" s="114" t="n">
        <v>16</v>
      </c>
      <c r="C25" s="246" t="inlineStr">
        <is>
          <t>T16</t>
        </is>
      </c>
      <c r="D25" s="541" t="n">
        <v>8.199999999999999</v>
      </c>
      <c r="E25" s="542" t="n">
        <v>250.4</v>
      </c>
      <c r="F25" s="542" t="n">
        <v>493.1</v>
      </c>
      <c r="G25" s="542" t="n">
        <v>747.2</v>
      </c>
      <c r="H25" s="542" t="n">
        <v>991.9</v>
      </c>
      <c r="I25" s="144" t="inlineStr">
        <is>
          <t>Fail</t>
        </is>
      </c>
      <c r="J25" s="7" t="n"/>
      <c r="K25" s="8" t="n"/>
      <c r="L25" s="541" t="n"/>
      <c r="M25" s="542" t="n"/>
      <c r="N25" s="542" t="n"/>
      <c r="O25" s="542" t="n"/>
      <c r="P25" s="546" t="n"/>
      <c r="Q25" s="8" t="n"/>
      <c r="R25" s="49" t="n"/>
    </row>
    <row r="26" ht="15" customFormat="1" customHeight="1" s="2">
      <c r="A26" s="51" t="n"/>
      <c r="B26" s="114" t="n">
        <v>17</v>
      </c>
      <c r="C26" s="246" t="inlineStr">
        <is>
          <t>T17</t>
        </is>
      </c>
      <c r="D26" s="541" t="n">
        <v>1.3</v>
      </c>
      <c r="E26" s="542" t="n">
        <v>250.2</v>
      </c>
      <c r="F26" s="542" t="n">
        <v>499.1</v>
      </c>
      <c r="G26" s="542" t="n">
        <v>750.2</v>
      </c>
      <c r="H26" s="542" t="n">
        <v>1000.4</v>
      </c>
      <c r="I26" s="144" t="inlineStr">
        <is>
          <t>Pass</t>
        </is>
      </c>
      <c r="J26" s="7" t="n"/>
      <c r="K26" s="8" t="n"/>
      <c r="L26" s="541" t="n"/>
      <c r="M26" s="542" t="n"/>
      <c r="N26" s="542" t="n"/>
      <c r="O26" s="542" t="n"/>
      <c r="P26" s="546" t="n"/>
      <c r="Q26" s="8" t="n"/>
      <c r="R26" s="49" t="n"/>
    </row>
    <row r="27" ht="15" customFormat="1" customHeight="1" s="2">
      <c r="A27" s="51" t="n"/>
      <c r="B27" s="114" t="n">
        <v>18</v>
      </c>
      <c r="C27" s="246" t="inlineStr">
        <is>
          <t>T18</t>
        </is>
      </c>
      <c r="D27" s="541" t="n">
        <v>0.5</v>
      </c>
      <c r="E27" s="542" t="n">
        <v>249.2</v>
      </c>
      <c r="F27" s="542" t="n">
        <v>498</v>
      </c>
      <c r="G27" s="542" t="n">
        <v>750.8</v>
      </c>
      <c r="H27" s="542" t="n">
        <v>1000.2</v>
      </c>
      <c r="I27" s="144" t="inlineStr">
        <is>
          <t>Pass</t>
        </is>
      </c>
      <c r="J27" s="7" t="n"/>
      <c r="K27" s="8" t="n"/>
      <c r="L27" s="541" t="n"/>
      <c r="M27" s="542" t="n"/>
      <c r="N27" s="542" t="n"/>
      <c r="O27" s="542" t="n"/>
      <c r="P27" s="546" t="n"/>
      <c r="Q27" s="8" t="n"/>
      <c r="R27" s="49" t="n"/>
    </row>
    <row r="28" ht="15" customFormat="1" customHeight="1" s="2">
      <c r="A28" s="51" t="n"/>
      <c r="B28" s="114" t="n">
        <v>19</v>
      </c>
      <c r="C28" s="246" t="inlineStr">
        <is>
          <t>T19</t>
        </is>
      </c>
      <c r="D28" s="541" t="n">
        <v>1.2</v>
      </c>
      <c r="E28" s="542" t="n">
        <v>250.4</v>
      </c>
      <c r="F28" s="542" t="n">
        <v>498.4</v>
      </c>
      <c r="G28" s="542" t="n">
        <v>748.8</v>
      </c>
      <c r="H28" s="542" t="n">
        <v>1000.2</v>
      </c>
      <c r="I28" s="144" t="inlineStr">
        <is>
          <t>Pass</t>
        </is>
      </c>
      <c r="J28" s="7" t="n"/>
      <c r="K28" s="8" t="n"/>
      <c r="L28" s="541" t="n"/>
      <c r="M28" s="542" t="n"/>
      <c r="N28" s="542" t="n"/>
      <c r="O28" s="542" t="n"/>
      <c r="P28" s="546" t="n"/>
      <c r="Q28" s="8" t="n"/>
      <c r="R28" s="49" t="n"/>
    </row>
    <row r="29" ht="15" customFormat="1" customHeight="1" s="2" thickBot="1">
      <c r="A29" s="51" t="n"/>
      <c r="B29" s="114" t="n">
        <v>20</v>
      </c>
      <c r="C29" s="246" t="inlineStr">
        <is>
          <t>T20</t>
        </is>
      </c>
      <c r="D29" s="541" t="n">
        <v>0.7</v>
      </c>
      <c r="E29" s="542" t="n">
        <v>249.4</v>
      </c>
      <c r="F29" s="542" t="n">
        <v>498.7</v>
      </c>
      <c r="G29" s="542" t="n">
        <v>749</v>
      </c>
      <c r="H29" s="542" t="n">
        <v>999.2</v>
      </c>
      <c r="I29" s="144" t="inlineStr">
        <is>
          <t>Pass</t>
        </is>
      </c>
      <c r="J29" s="7" t="n"/>
      <c r="K29" s="8" t="n"/>
      <c r="L29" s="541" t="n"/>
      <c r="M29" s="542" t="n"/>
      <c r="N29" s="542" t="n"/>
      <c r="O29" s="542" t="n"/>
      <c r="P29" s="546" t="n"/>
      <c r="Q29" s="8" t="n"/>
      <c r="R29" s="49" t="n"/>
    </row>
    <row r="30" ht="15" customFormat="1" customHeight="1" s="2" thickBot="1">
      <c r="A30" s="51" t="n"/>
      <c r="B30" s="54" t="n"/>
      <c r="C30" s="10" t="inlineStr">
        <is>
          <t xml:space="preserve">         Pre-Cals. Checked By.</t>
        </is>
      </c>
      <c r="D30" s="379" t="inlineStr">
        <is>
          <t>CD</t>
        </is>
      </c>
      <c r="E30" s="547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123" t="n"/>
    </row>
    <row r="31" ht="15" customFormat="1" customHeight="1" s="2" thickBot="1">
      <c r="A31" s="68" t="n"/>
      <c r="B31" s="18" t="n"/>
      <c r="C31" s="54" t="n"/>
      <c r="D31" s="54" t="n"/>
      <c r="E31" s="104" t="n"/>
      <c r="F31" s="18" t="inlineStr">
        <is>
          <t>DEVT No.</t>
        </is>
      </c>
      <c r="G31" s="392" t="inlineStr">
        <is>
          <t>Make / Model</t>
        </is>
      </c>
      <c r="H31" s="461" t="n"/>
      <c r="I31" s="461" t="n"/>
      <c r="J31" s="395" t="inlineStr">
        <is>
          <t>Calibration Due</t>
        </is>
      </c>
      <c r="K31" s="509" t="n"/>
      <c r="L31" s="509" t="n"/>
      <c r="M31" s="104" t="n"/>
      <c r="N31" s="548" t="inlineStr">
        <is>
          <t xml:space="preserve">Set Points are </t>
        </is>
      </c>
      <c r="O31" s="119" t="inlineStr">
        <is>
          <t>200 and 800 °C</t>
        </is>
      </c>
      <c r="P31" s="120" t="n"/>
      <c r="Q31" s="551" t="n"/>
      <c r="R31" s="49" t="n"/>
    </row>
    <row r="32" ht="15" customFormat="1" customHeight="1" s="2" thickBot="1">
      <c r="A32" s="68" t="n"/>
      <c r="B32" s="18" t="n"/>
      <c r="C32" s="54" t="n"/>
      <c r="D32" s="54" t="n"/>
      <c r="E32" s="104" t="inlineStr">
        <is>
          <t xml:space="preserve">Temperature Simulator Used. </t>
        </is>
      </c>
      <c r="F32" s="379" t="n">
        <v>105</v>
      </c>
      <c r="G32" s="386" t="inlineStr">
        <is>
          <t>Druck DPI620</t>
        </is>
      </c>
      <c r="H32" s="471" t="n"/>
      <c r="I32" s="547" t="n"/>
      <c r="J32" s="549" t="n">
        <v>44891</v>
      </c>
      <c r="K32" s="471" t="n"/>
      <c r="L32" s="547" t="n"/>
      <c r="M32" s="104" t="n"/>
      <c r="N32" s="10" t="n"/>
      <c r="O32" s="18" t="n"/>
      <c r="P32" s="10" t="n"/>
      <c r="Q32" s="10" t="n"/>
      <c r="R32" s="49" t="n"/>
    </row>
    <row r="33" ht="15" customFormat="1" customHeight="1" s="2" thickBot="1">
      <c r="A33" s="122" t="n"/>
      <c r="B33" s="121" t="n"/>
      <c r="C33" s="121" t="n"/>
      <c r="D33" s="121" t="n"/>
      <c r="E33" s="121" t="n"/>
      <c r="F33" s="121" t="n"/>
      <c r="G33" s="121" t="n"/>
      <c r="H33" s="121" t="n"/>
      <c r="I33" s="121" t="n"/>
      <c r="J33" s="121" t="n"/>
      <c r="K33" s="121" t="n"/>
      <c r="L33" s="121" t="n"/>
      <c r="M33" s="121" t="n"/>
      <c r="N33" s="75" t="n"/>
      <c r="O33" s="75" t="n"/>
      <c r="P33" s="75" t="n"/>
      <c r="Q33" s="75" t="n"/>
      <c r="R33" s="58" t="n"/>
    </row>
    <row r="34" ht="15" customFormat="1" customHeight="1" s="2" thickTop="1">
      <c r="A34" s="60" t="n"/>
      <c r="B34" s="61" t="n"/>
      <c r="C34" s="61" t="n"/>
      <c r="D34" s="61" t="n"/>
      <c r="E34" s="61" t="n"/>
      <c r="F34" s="61" t="n"/>
      <c r="G34" s="61" t="n"/>
      <c r="H34" s="61" t="n"/>
      <c r="I34" s="61" t="n"/>
      <c r="J34" s="61" t="n"/>
      <c r="K34" s="61" t="n"/>
      <c r="L34" s="61" t="n"/>
      <c r="M34" s="101" t="n"/>
      <c r="N34" s="101" t="n"/>
      <c r="O34" s="101" t="n"/>
      <c r="P34" s="101" t="n"/>
      <c r="Q34" s="101" t="n"/>
      <c r="R34" s="102" t="n"/>
    </row>
    <row r="35" ht="25" customFormat="1" customHeight="1" s="2">
      <c r="A35" s="530" t="inlineStr">
        <is>
          <t>Test Bed High Temperature Measurement Calibration</t>
        </is>
      </c>
      <c r="B35" s="461" t="n"/>
      <c r="C35" s="461" t="n"/>
      <c r="D35" s="461" t="n"/>
      <c r="E35" s="461" t="n"/>
      <c r="F35" s="461" t="n"/>
      <c r="G35" s="461" t="n"/>
      <c r="H35" s="461" t="n"/>
      <c r="I35" s="461" t="n"/>
      <c r="J35" s="461" t="n"/>
      <c r="K35" s="461" t="n"/>
      <c r="L35" s="461" t="n"/>
      <c r="M35" s="461" t="n"/>
      <c r="N35" s="461" t="n"/>
      <c r="O35" s="461" t="n"/>
      <c r="P35" s="461" t="n"/>
      <c r="Q35" s="461" t="n"/>
      <c r="R35" s="495" t="n"/>
    </row>
    <row r="36" ht="15" customFormat="1" customHeight="1" s="2" thickBot="1">
      <c r="A36" s="131" t="n"/>
      <c r="B36" s="130" t="n"/>
      <c r="C36" s="128" t="n"/>
      <c r="D36" s="129" t="n"/>
      <c r="E36" s="129" t="n"/>
      <c r="F36" s="128" t="n"/>
      <c r="G36" s="128" t="n"/>
      <c r="H36" s="128" t="n"/>
      <c r="I36" s="128" t="n"/>
      <c r="J36" s="128" t="n"/>
      <c r="K36" s="128" t="n"/>
      <c r="L36" s="128" t="n"/>
      <c r="M36" s="127" t="n"/>
      <c r="N36" s="127" t="n"/>
      <c r="O36" s="127" t="n"/>
      <c r="P36" s="127" t="n"/>
      <c r="Q36" s="127" t="n"/>
      <c r="R36" s="126" t="n"/>
    </row>
    <row r="37" ht="15" customFormat="1" customHeight="1" s="2" thickBot="1">
      <c r="A37" s="48" t="n"/>
      <c r="B37" s="10" t="inlineStr">
        <is>
          <t xml:space="preserve">Job No. </t>
        </is>
      </c>
      <c r="C37" s="194">
        <f>Title!C4</f>
        <v/>
      </c>
      <c r="D37" s="7" t="n"/>
      <c r="E37" s="10" t="inlineStr">
        <is>
          <t xml:space="preserve">Calibrated By. </t>
        </is>
      </c>
      <c r="F37" s="194">
        <f>Title!C3</f>
        <v/>
      </c>
      <c r="G37" s="472" t="n"/>
      <c r="H37" s="7" t="n"/>
      <c r="I37" s="7" t="n"/>
      <c r="J37" s="10" t="inlineStr">
        <is>
          <t xml:space="preserve">Calibration Date. </t>
        </is>
      </c>
      <c r="K37" s="531">
        <f>Title!C9</f>
        <v/>
      </c>
      <c r="L37" s="471" t="n"/>
      <c r="M37" s="472" t="n"/>
      <c r="N37" s="8" t="n"/>
      <c r="O37" s="10" t="inlineStr">
        <is>
          <t>Bed No.</t>
        </is>
      </c>
      <c r="P37" s="474">
        <f>Title!F3</f>
        <v/>
      </c>
      <c r="Q37" s="472" t="n"/>
      <c r="R37" s="65" t="n"/>
    </row>
    <row r="38" ht="15" customFormat="1" customHeight="1" s="2">
      <c r="A38" s="48" t="n"/>
      <c r="B38" s="7" t="n"/>
      <c r="C38" s="7" t="n"/>
      <c r="D38" s="10" t="n"/>
      <c r="E38" s="10" t="n"/>
      <c r="F38" s="7" t="n"/>
      <c r="G38" s="10" t="n"/>
      <c r="H38" s="8" t="n"/>
      <c r="I38" s="8" t="n"/>
      <c r="J38" s="18" t="n"/>
      <c r="K38" s="8" t="n"/>
      <c r="L38" s="8" t="n"/>
      <c r="M38" s="8" t="n"/>
      <c r="N38" s="8" t="n"/>
      <c r="O38" s="8" t="n"/>
      <c r="P38" s="8" t="n"/>
      <c r="Q38" s="8" t="n"/>
      <c r="R38" s="49" t="n"/>
    </row>
    <row r="39" ht="15" customFormat="1" customHeight="1" s="2">
      <c r="A39" s="47" t="inlineStr">
        <is>
          <t>Acceptable Deviation: +/- 5°C, adjust if error &gt;4°C</t>
        </is>
      </c>
      <c r="B39" s="21" t="n"/>
      <c r="C39" s="21" t="n"/>
      <c r="D39" s="21" t="n"/>
      <c r="E39" s="21" t="n"/>
      <c r="F39" s="21" t="n"/>
      <c r="G39" s="21" t="n"/>
      <c r="H39" s="78" t="n"/>
      <c r="I39" s="21" t="n"/>
      <c r="J39" s="21" t="n"/>
      <c r="K39" s="21" t="n"/>
      <c r="L39" s="21" t="n"/>
      <c r="M39" s="21" t="n"/>
      <c r="N39" s="21" t="n"/>
      <c r="O39" s="21" t="n"/>
      <c r="P39" s="21" t="n"/>
      <c r="Q39" s="21" t="n"/>
      <c r="R39" s="50" t="n"/>
    </row>
    <row r="40" ht="15" customFormat="1" customHeight="1" s="2" thickBot="1">
      <c r="A40" s="48" t="n"/>
      <c r="B40" s="383" t="n"/>
      <c r="C40" s="7" t="n"/>
      <c r="D40" s="7" t="n"/>
      <c r="E40" s="7" t="n"/>
      <c r="F40" s="7" t="n"/>
      <c r="G40" s="7" t="n"/>
      <c r="H40" s="7" t="n"/>
      <c r="I40" s="7" t="n"/>
      <c r="J40" s="7" t="n"/>
      <c r="K40" s="8" t="n"/>
      <c r="L40" s="8" t="n"/>
      <c r="M40" s="8" t="n"/>
      <c r="N40" s="8" t="n"/>
      <c r="O40" s="8" t="n"/>
      <c r="P40" s="8" t="n"/>
      <c r="Q40" s="8" t="n"/>
      <c r="R40" s="49" t="n"/>
    </row>
    <row r="41" ht="15" customFormat="1" customHeight="1" s="2">
      <c r="A41" s="51" t="n"/>
      <c r="B41" s="107" t="inlineStr">
        <is>
          <t>Chan.</t>
        </is>
      </c>
      <c r="C41" s="532" t="inlineStr">
        <is>
          <t>Channel Name</t>
        </is>
      </c>
      <c r="D41" s="533" t="inlineStr">
        <is>
          <t>Pre-Calibration Set Points °C.</t>
        </is>
      </c>
      <c r="E41" s="534" t="n"/>
      <c r="F41" s="534" t="n"/>
      <c r="G41" s="534" t="n"/>
      <c r="H41" s="535" t="n"/>
      <c r="I41" s="108" t="inlineStr">
        <is>
          <t>Pass/Fail</t>
        </is>
      </c>
      <c r="J41" s="7" t="n"/>
      <c r="K41" s="8" t="n"/>
      <c r="L41" s="533" t="inlineStr">
        <is>
          <t>Post-Calibration Set Points °C.</t>
        </is>
      </c>
      <c r="M41" s="534" t="n"/>
      <c r="N41" s="534" t="n"/>
      <c r="O41" s="534" t="n"/>
      <c r="P41" s="535" t="n"/>
      <c r="Q41" s="8" t="n"/>
      <c r="R41" s="49" t="n"/>
    </row>
    <row r="42" ht="15" customFormat="1" customHeight="1" s="2" thickBot="1">
      <c r="A42" s="51" t="n"/>
      <c r="B42" s="109" t="inlineStr">
        <is>
          <t>No.</t>
        </is>
      </c>
      <c r="C42" s="536" t="n"/>
      <c r="D42" s="537" t="n">
        <v>0</v>
      </c>
      <c r="E42" s="550" t="n">
        <v>250</v>
      </c>
      <c r="F42" s="538" t="n">
        <v>500</v>
      </c>
      <c r="G42" s="538" t="n">
        <v>750</v>
      </c>
      <c r="H42" s="538" t="n">
        <v>1000</v>
      </c>
      <c r="I42" s="143" t="inlineStr">
        <is>
          <t>(P/F)</t>
        </is>
      </c>
      <c r="J42" s="7" t="n"/>
      <c r="K42" s="8" t="n"/>
      <c r="L42" s="537" t="n">
        <v>0</v>
      </c>
      <c r="M42" s="538" t="n">
        <v>250</v>
      </c>
      <c r="N42" s="538" t="n">
        <v>500</v>
      </c>
      <c r="O42" s="538" t="n">
        <v>750</v>
      </c>
      <c r="P42" s="540" t="n">
        <v>1000</v>
      </c>
      <c r="Q42" s="8" t="n"/>
      <c r="R42" s="49" t="n"/>
    </row>
    <row r="43" ht="15" customFormat="1" customHeight="1" s="2">
      <c r="A43" s="51" t="n"/>
      <c r="B43" s="114" t="n">
        <v>21</v>
      </c>
      <c r="C43" s="246" t="inlineStr">
        <is>
          <t>T21</t>
        </is>
      </c>
      <c r="D43" s="541" t="n">
        <v>1.5</v>
      </c>
      <c r="E43" s="542" t="n">
        <v>251.8</v>
      </c>
      <c r="F43" s="542" t="n">
        <v>499</v>
      </c>
      <c r="G43" s="542" t="n">
        <v>750</v>
      </c>
      <c r="H43" s="542" t="n">
        <v>999.4</v>
      </c>
      <c r="I43" s="144" t="inlineStr">
        <is>
          <t>Pass</t>
        </is>
      </c>
      <c r="J43" s="7" t="n"/>
      <c r="K43" s="8" t="n"/>
      <c r="L43" s="541" t="n"/>
      <c r="M43" s="542" t="n"/>
      <c r="N43" s="542" t="n"/>
      <c r="O43" s="542" t="n"/>
      <c r="P43" s="546" t="n"/>
      <c r="Q43" s="8" t="n"/>
      <c r="R43" s="49" t="n"/>
    </row>
    <row r="44" ht="15" customFormat="1" customHeight="1" s="2">
      <c r="A44" s="51" t="n"/>
      <c r="B44" s="114" t="n">
        <v>22</v>
      </c>
      <c r="C44" s="246" t="inlineStr">
        <is>
          <t>T22</t>
        </is>
      </c>
      <c r="D44" s="541" t="n">
        <v>0.8</v>
      </c>
      <c r="E44" s="542" t="n">
        <v>248.7</v>
      </c>
      <c r="F44" s="542" t="n">
        <v>498.3</v>
      </c>
      <c r="G44" s="542" t="n">
        <v>749.5</v>
      </c>
      <c r="H44" s="542" t="n">
        <v>998.6</v>
      </c>
      <c r="I44" s="144" t="inlineStr">
        <is>
          <t>Pass</t>
        </is>
      </c>
      <c r="J44" s="7" t="n"/>
      <c r="K44" s="8" t="n"/>
      <c r="L44" s="541" t="n"/>
      <c r="M44" s="542" t="n"/>
      <c r="N44" s="542" t="n"/>
      <c r="O44" s="542" t="n"/>
      <c r="P44" s="546" t="n"/>
      <c r="Q44" s="8" t="n"/>
      <c r="R44" s="49" t="n"/>
    </row>
    <row r="45" ht="13" customHeight="1">
      <c r="A45" s="51" t="n"/>
      <c r="B45" s="114" t="n">
        <v>23</v>
      </c>
      <c r="C45" s="246" t="inlineStr">
        <is>
          <t>T23</t>
        </is>
      </c>
      <c r="D45" s="541" t="n">
        <v>0</v>
      </c>
      <c r="E45" s="542" t="n">
        <v>251.4</v>
      </c>
      <c r="F45" s="542" t="n">
        <v>501.3</v>
      </c>
      <c r="G45" s="542" t="n">
        <v>743.5</v>
      </c>
      <c r="H45" s="542" t="n">
        <v>1006.4</v>
      </c>
      <c r="I45" s="144" t="inlineStr">
        <is>
          <t>Fail</t>
        </is>
      </c>
      <c r="J45" s="7" t="n"/>
      <c r="K45" s="8" t="n"/>
      <c r="L45" s="541" t="n"/>
      <c r="M45" s="542" t="n"/>
      <c r="N45" s="542" t="n"/>
      <c r="O45" s="542" t="n"/>
      <c r="P45" s="546" t="n"/>
      <c r="Q45" s="8" t="n"/>
      <c r="R45" s="49" t="n"/>
    </row>
    <row r="46" ht="13" customHeight="1">
      <c r="A46" s="51" t="n"/>
      <c r="B46" s="114" t="n">
        <v>24</v>
      </c>
      <c r="C46" s="246" t="inlineStr">
        <is>
          <t>T24</t>
        </is>
      </c>
      <c r="D46" s="541" t="n">
        <v>0.1</v>
      </c>
      <c r="E46" s="542" t="n">
        <v>256</v>
      </c>
      <c r="F46" s="542" t="n">
        <v>495.6</v>
      </c>
      <c r="G46" s="542" t="n">
        <v>743</v>
      </c>
      <c r="H46" s="542" t="n">
        <v>995.7</v>
      </c>
      <c r="I46" s="144" t="inlineStr">
        <is>
          <t>Fail</t>
        </is>
      </c>
      <c r="J46" s="7" t="n"/>
      <c r="K46" s="8" t="n"/>
      <c r="L46" s="541" t="n"/>
      <c r="M46" s="542" t="n"/>
      <c r="N46" s="542" t="n"/>
      <c r="O46" s="542" t="n"/>
      <c r="P46" s="546" t="n"/>
      <c r="Q46" s="8" t="n"/>
      <c r="R46" s="49" t="n"/>
    </row>
    <row r="47" ht="13" customHeight="1">
      <c r="A47" s="51" t="n"/>
      <c r="B47" s="114" t="n">
        <v>25</v>
      </c>
      <c r="C47" s="246" t="inlineStr">
        <is>
          <t>T25</t>
        </is>
      </c>
      <c r="D47" s="541" t="n">
        <v>0</v>
      </c>
      <c r="E47" s="542" t="n">
        <v>248.8</v>
      </c>
      <c r="F47" s="542" t="n">
        <v>499.9</v>
      </c>
      <c r="G47" s="542" t="n">
        <v>748.3</v>
      </c>
      <c r="H47" s="542" t="n">
        <v>998.1</v>
      </c>
      <c r="I47" s="144" t="inlineStr">
        <is>
          <t>Pass</t>
        </is>
      </c>
      <c r="J47" s="7" t="n"/>
      <c r="K47" s="8" t="n"/>
      <c r="L47" s="541" t="n"/>
      <c r="M47" s="542" t="n"/>
      <c r="N47" s="542" t="n"/>
      <c r="O47" s="542" t="n"/>
      <c r="P47" s="546" t="n"/>
      <c r="Q47" s="8" t="n"/>
      <c r="R47" s="49" t="n"/>
    </row>
    <row r="48" ht="13" customHeight="1">
      <c r="A48" s="51" t="n"/>
      <c r="B48" s="114" t="n">
        <v>26</v>
      </c>
      <c r="C48" s="246" t="inlineStr">
        <is>
          <t>T26</t>
        </is>
      </c>
      <c r="D48" s="541" t="n"/>
      <c r="E48" s="542" t="n"/>
      <c r="F48" s="542" t="n"/>
      <c r="G48" s="542" t="n"/>
      <c r="H48" s="542" t="n"/>
      <c r="I48" s="144" t="n"/>
      <c r="J48" s="7" t="n"/>
      <c r="K48" s="8" t="n"/>
      <c r="L48" s="541" t="n"/>
      <c r="M48" s="542" t="n"/>
      <c r="N48" s="542" t="n"/>
      <c r="O48" s="542" t="n"/>
      <c r="P48" s="546" t="n"/>
      <c r="Q48" s="8" t="n"/>
      <c r="R48" s="49" t="n"/>
    </row>
    <row r="49" ht="13" customHeight="1">
      <c r="A49" s="51" t="n"/>
      <c r="B49" s="114" t="n">
        <v>27</v>
      </c>
      <c r="C49" s="246" t="inlineStr">
        <is>
          <t>T27</t>
        </is>
      </c>
      <c r="D49" s="541" t="n"/>
      <c r="E49" s="542" t="n"/>
      <c r="F49" s="542" t="n"/>
      <c r="G49" s="542" t="n"/>
      <c r="H49" s="542" t="n"/>
      <c r="I49" s="144" t="n"/>
      <c r="J49" s="7" t="n"/>
      <c r="K49" s="8" t="n"/>
      <c r="L49" s="541" t="n"/>
      <c r="M49" s="542" t="n"/>
      <c r="N49" s="542" t="n"/>
      <c r="O49" s="542" t="n"/>
      <c r="P49" s="546" t="n"/>
      <c r="Q49" s="8" t="n"/>
      <c r="R49" s="49" t="n"/>
    </row>
    <row r="50" ht="13" customHeight="1">
      <c r="A50" s="51" t="n"/>
      <c r="B50" s="114" t="n">
        <v>28</v>
      </c>
      <c r="C50" s="246" t="inlineStr">
        <is>
          <t>T28</t>
        </is>
      </c>
      <c r="D50" s="541" t="n"/>
      <c r="E50" s="542" t="n"/>
      <c r="F50" s="542" t="n"/>
      <c r="G50" s="542" t="n"/>
      <c r="H50" s="542" t="n"/>
      <c r="I50" s="144" t="n"/>
      <c r="J50" s="7" t="n"/>
      <c r="K50" s="8" t="n"/>
      <c r="L50" s="541" t="n"/>
      <c r="M50" s="542" t="n"/>
      <c r="N50" s="542" t="n"/>
      <c r="O50" s="542" t="n"/>
      <c r="P50" s="546" t="n"/>
      <c r="Q50" s="8" t="n"/>
      <c r="R50" s="49" t="n"/>
    </row>
    <row r="51" ht="13" customHeight="1">
      <c r="A51" s="51" t="n"/>
      <c r="B51" s="114" t="n">
        <v>29</v>
      </c>
      <c r="C51" s="246" t="inlineStr">
        <is>
          <t>T29</t>
        </is>
      </c>
      <c r="D51" s="541" t="n"/>
      <c r="E51" s="542" t="n"/>
      <c r="F51" s="542" t="n"/>
      <c r="G51" s="542" t="n"/>
      <c r="H51" s="542" t="n"/>
      <c r="I51" s="144" t="n"/>
      <c r="J51" s="7" t="n"/>
      <c r="K51" s="8" t="n"/>
      <c r="L51" s="541" t="n"/>
      <c r="M51" s="542" t="n"/>
      <c r="N51" s="542" t="n"/>
      <c r="O51" s="542" t="n"/>
      <c r="P51" s="546" t="n"/>
      <c r="Q51" s="8" t="n"/>
      <c r="R51" s="49" t="n"/>
    </row>
    <row r="52" ht="13" customHeight="1">
      <c r="A52" s="51" t="n"/>
      <c r="B52" s="114" t="n">
        <v>30</v>
      </c>
      <c r="C52" s="246" t="inlineStr">
        <is>
          <t>T30</t>
        </is>
      </c>
      <c r="D52" s="541" t="n"/>
      <c r="E52" s="542" t="n"/>
      <c r="F52" s="542" t="n"/>
      <c r="G52" s="542" t="n"/>
      <c r="H52" s="542" t="n"/>
      <c r="I52" s="144" t="n"/>
      <c r="J52" s="7" t="n"/>
      <c r="K52" s="8" t="n"/>
      <c r="L52" s="541" t="n"/>
      <c r="M52" s="542" t="n"/>
      <c r="N52" s="542" t="n"/>
      <c r="O52" s="542" t="n"/>
      <c r="P52" s="546" t="n"/>
      <c r="Q52" s="8" t="n"/>
      <c r="R52" s="49" t="n"/>
    </row>
    <row r="53" ht="13" customHeight="1">
      <c r="A53" s="51" t="n"/>
      <c r="B53" s="114" t="n">
        <v>31</v>
      </c>
      <c r="C53" s="246" t="inlineStr">
        <is>
          <t>T31</t>
        </is>
      </c>
      <c r="D53" s="541" t="n"/>
      <c r="E53" s="542" t="n"/>
      <c r="F53" s="542" t="n"/>
      <c r="G53" s="542" t="n"/>
      <c r="H53" s="542" t="n"/>
      <c r="I53" s="144" t="n"/>
      <c r="J53" s="7" t="n"/>
      <c r="K53" s="8" t="n"/>
      <c r="L53" s="541" t="n"/>
      <c r="M53" s="542" t="n"/>
      <c r="N53" s="542" t="n"/>
      <c r="O53" s="542" t="n"/>
      <c r="P53" s="546" t="n"/>
      <c r="Q53" s="8" t="n"/>
      <c r="R53" s="49" t="n"/>
    </row>
    <row r="54" ht="13" customHeight="1">
      <c r="A54" s="51" t="n"/>
      <c r="B54" s="114" t="n">
        <v>32</v>
      </c>
      <c r="C54" s="246" t="inlineStr">
        <is>
          <t>T32</t>
        </is>
      </c>
      <c r="D54" s="541" t="n"/>
      <c r="E54" s="542" t="n"/>
      <c r="F54" s="542" t="n"/>
      <c r="G54" s="542" t="n"/>
      <c r="H54" s="542" t="n"/>
      <c r="I54" s="144" t="n"/>
      <c r="J54" s="7" t="n"/>
      <c r="K54" s="8" t="n"/>
      <c r="L54" s="541" t="n"/>
      <c r="M54" s="542" t="n"/>
      <c r="N54" s="542" t="n"/>
      <c r="O54" s="542" t="n"/>
      <c r="P54" s="546" t="n"/>
      <c r="Q54" s="8" t="n"/>
      <c r="R54" s="49" t="n"/>
    </row>
    <row r="55" ht="13" customHeight="1">
      <c r="A55" s="51" t="n"/>
      <c r="B55" s="114" t="n">
        <v>33</v>
      </c>
      <c r="C55" s="246" t="inlineStr">
        <is>
          <t>T33</t>
        </is>
      </c>
      <c r="D55" s="541" t="n"/>
      <c r="E55" s="542" t="n"/>
      <c r="F55" s="542" t="n"/>
      <c r="G55" s="542" t="n"/>
      <c r="H55" s="542" t="n"/>
      <c r="I55" s="144" t="n"/>
      <c r="J55" s="7" t="n"/>
      <c r="K55" s="8" t="n"/>
      <c r="L55" s="541" t="n"/>
      <c r="M55" s="542" t="n"/>
      <c r="N55" s="542" t="n"/>
      <c r="O55" s="542" t="n"/>
      <c r="P55" s="546" t="n"/>
      <c r="Q55" s="8" t="n"/>
      <c r="R55" s="49" t="n"/>
    </row>
    <row r="56" ht="13" customHeight="1">
      <c r="A56" s="51" t="n"/>
      <c r="B56" s="114" t="n">
        <v>34</v>
      </c>
      <c r="C56" s="246" t="inlineStr">
        <is>
          <t>T34</t>
        </is>
      </c>
      <c r="D56" s="541" t="n"/>
      <c r="E56" s="542" t="n"/>
      <c r="F56" s="542" t="n"/>
      <c r="G56" s="542" t="n"/>
      <c r="H56" s="542" t="n"/>
      <c r="I56" s="144" t="n"/>
      <c r="J56" s="7" t="n"/>
      <c r="K56" s="8" t="n"/>
      <c r="L56" s="541" t="n"/>
      <c r="M56" s="542" t="n"/>
      <c r="N56" s="542" t="n"/>
      <c r="O56" s="542" t="n"/>
      <c r="P56" s="546" t="n"/>
      <c r="Q56" s="8" t="n"/>
      <c r="R56" s="49" t="n"/>
    </row>
    <row r="57" ht="13.5" customHeight="1" thickBot="1">
      <c r="A57" s="51" t="n"/>
      <c r="B57" s="114" t="n">
        <v>35</v>
      </c>
      <c r="C57" s="246" t="inlineStr">
        <is>
          <t>T35</t>
        </is>
      </c>
      <c r="D57" s="541" t="n"/>
      <c r="E57" s="542" t="n"/>
      <c r="F57" s="542" t="n"/>
      <c r="G57" s="542" t="n"/>
      <c r="H57" s="542" t="n"/>
      <c r="I57" s="144" t="n"/>
      <c r="J57" s="7" t="n"/>
      <c r="K57" s="8" t="n"/>
      <c r="L57" s="541" t="n"/>
      <c r="M57" s="542" t="n"/>
      <c r="N57" s="542" t="n"/>
      <c r="O57" s="542" t="n"/>
      <c r="P57" s="546" t="n"/>
      <c r="Q57" s="8" t="n"/>
      <c r="R57" s="49" t="n"/>
    </row>
    <row r="58" ht="13" customHeight="1" thickBot="1">
      <c r="A58" s="51" t="n"/>
      <c r="B58" s="54" t="n"/>
      <c r="C58" s="10" t="inlineStr">
        <is>
          <t xml:space="preserve">         Pre-Cals. Checked By.</t>
        </is>
      </c>
      <c r="D58" s="379" t="inlineStr">
        <is>
          <t>CD</t>
        </is>
      </c>
      <c r="E58" s="547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123" t="n"/>
    </row>
    <row r="59" ht="13" customHeight="1" thickBot="1">
      <c r="A59" s="68" t="n"/>
      <c r="B59" s="18" t="n"/>
      <c r="C59" s="54" t="n"/>
      <c r="D59" s="54" t="n"/>
      <c r="E59" s="104" t="n"/>
      <c r="F59" s="18" t="inlineStr">
        <is>
          <t>DEVT No.</t>
        </is>
      </c>
      <c r="G59" s="392" t="inlineStr">
        <is>
          <t>Make / Model</t>
        </is>
      </c>
      <c r="H59" s="461" t="n"/>
      <c r="I59" s="461" t="n"/>
      <c r="J59" s="395" t="inlineStr">
        <is>
          <t>Calibration Due</t>
        </is>
      </c>
      <c r="K59" s="509" t="n"/>
      <c r="L59" s="509" t="n"/>
      <c r="M59" s="104" t="n"/>
      <c r="N59" s="548" t="inlineStr">
        <is>
          <t xml:space="preserve">Set Points are </t>
        </is>
      </c>
      <c r="O59" s="119" t="inlineStr">
        <is>
          <t>200 and 800 °C</t>
        </is>
      </c>
      <c r="P59" s="120" t="n"/>
      <c r="Q59" s="551" t="n"/>
      <c r="R59" s="49" t="n"/>
    </row>
    <row r="60" ht="13" customHeight="1" thickBot="1">
      <c r="A60" s="68" t="n"/>
      <c r="B60" s="18" t="n"/>
      <c r="C60" s="54" t="n"/>
      <c r="D60" s="54" t="n"/>
      <c r="E60" s="104" t="inlineStr">
        <is>
          <t xml:space="preserve">Temperature Simulator Used. </t>
        </is>
      </c>
      <c r="F60" s="379" t="n">
        <v>105</v>
      </c>
      <c r="G60" s="386" t="inlineStr">
        <is>
          <t>Druck DPI620</t>
        </is>
      </c>
      <c r="H60" s="471" t="n"/>
      <c r="I60" s="547" t="n"/>
      <c r="J60" s="549" t="n">
        <v>44891</v>
      </c>
      <c r="K60" s="471" t="n"/>
      <c r="L60" s="547" t="n"/>
      <c r="M60" s="104" t="n"/>
      <c r="N60" s="10" t="n"/>
      <c r="O60" s="18" t="n"/>
      <c r="P60" s="10" t="n"/>
      <c r="Q60" s="10" t="n"/>
      <c r="R60" s="49" t="n"/>
    </row>
    <row r="61" ht="13" customHeight="1" thickBot="1">
      <c r="A61" s="122" t="n"/>
      <c r="B61" s="121" t="n"/>
      <c r="C61" s="121" t="n"/>
      <c r="D61" s="121" t="n"/>
      <c r="E61" s="121" t="n"/>
      <c r="F61" s="121" t="n"/>
      <c r="G61" s="121" t="n"/>
      <c r="H61" s="121" t="n"/>
      <c r="I61" s="121" t="n"/>
      <c r="J61" s="121" t="n"/>
      <c r="K61" s="121" t="n"/>
      <c r="L61" s="121" t="n"/>
      <c r="M61" s="121" t="n"/>
      <c r="N61" s="75" t="n"/>
      <c r="O61" s="75" t="n"/>
      <c r="P61" s="75" t="n"/>
      <c r="Q61" s="75" t="n"/>
      <c r="R61" s="58" t="n"/>
    </row>
    <row r="62" ht="13" customHeight="1" thickTop="1">
      <c r="A62" s="394" t="n"/>
      <c r="B62" s="394" t="n"/>
      <c r="C62" s="394" t="n"/>
      <c r="D62" s="394" t="n"/>
      <c r="E62" s="394" t="n"/>
      <c r="F62" s="394" t="n"/>
      <c r="G62" s="394" t="n"/>
      <c r="H62" s="394" t="n"/>
      <c r="I62" s="394" t="n"/>
      <c r="J62" s="394" t="n"/>
      <c r="K62" s="394" t="n"/>
      <c r="L62" s="394" t="n"/>
      <c r="M62" s="394" t="n"/>
      <c r="N62" s="394" t="n"/>
      <c r="O62" s="394" t="n"/>
      <c r="P62" s="394" t="n"/>
      <c r="Q62" s="394" t="n"/>
      <c r="R62" s="394" t="n"/>
    </row>
  </sheetData>
  <mergeCells count="24">
    <mergeCell ref="P4:Q4"/>
    <mergeCell ref="F4:G4"/>
    <mergeCell ref="J32:L32"/>
    <mergeCell ref="A2:R2"/>
    <mergeCell ref="J31:L31"/>
    <mergeCell ref="C41:C42"/>
    <mergeCell ref="D41:H41"/>
    <mergeCell ref="L8:P8"/>
    <mergeCell ref="A35:R35"/>
    <mergeCell ref="G32:I32"/>
    <mergeCell ref="C8:C9"/>
    <mergeCell ref="G60:I60"/>
    <mergeCell ref="K4:M4"/>
    <mergeCell ref="K37:M37"/>
    <mergeCell ref="G31:I31"/>
    <mergeCell ref="D58:E58"/>
    <mergeCell ref="L41:P41"/>
    <mergeCell ref="P37:Q37"/>
    <mergeCell ref="G59:I59"/>
    <mergeCell ref="F37:G37"/>
    <mergeCell ref="D8:H8"/>
    <mergeCell ref="D30:E30"/>
    <mergeCell ref="J60:L60"/>
    <mergeCell ref="J59:L59"/>
  </mergeCells>
  <conditionalFormatting sqref="L10:O29">
    <cfRule type="cellIs" priority="11" operator="notBetween" dxfId="1" stopIfTrue="1">
      <formula>L$9-5</formula>
      <formula>L$9+5</formula>
    </cfRule>
    <cfRule type="cellIs" priority="12" operator="notBetween" dxfId="0" stopIfTrue="1">
      <formula>L$9-4</formula>
      <formula>L$9+4</formula>
    </cfRule>
  </conditionalFormatting>
  <conditionalFormatting sqref="P10:P29">
    <cfRule type="cellIs" priority="9" operator="notBetween" dxfId="1" stopIfTrue="1">
      <formula>P$9-5</formula>
      <formula>P$9+5</formula>
    </cfRule>
    <cfRule type="cellIs" priority="10" operator="notBetween" dxfId="0" stopIfTrue="1">
      <formula>P$9-4</formula>
      <formula>P$9+4</formula>
    </cfRule>
  </conditionalFormatting>
  <conditionalFormatting sqref="D10:H29">
    <cfRule type="cellIs" priority="15" operator="notBetween" dxfId="1" stopIfTrue="1">
      <formula>D$9-5</formula>
      <formula>D$9+5</formula>
    </cfRule>
    <cfRule type="cellIs" priority="16" operator="notBetween" dxfId="0" stopIfTrue="1">
      <formula>D$9-4</formula>
      <formula>D$9+4</formula>
    </cfRule>
  </conditionalFormatting>
  <conditionalFormatting sqref="I10:I29">
    <cfRule type="containsText" priority="13" operator="containsText" dxfId="46" stopIfTrue="1" text="P">
      <formula>NOT(ISERROR(SEARCH("P",I10)))</formula>
    </cfRule>
    <cfRule type="containsText" priority="14" operator="containsText" dxfId="45" stopIfTrue="1" text="F">
      <formula>NOT(ISERROR(SEARCH("F",I10)))</formula>
    </cfRule>
  </conditionalFormatting>
  <conditionalFormatting sqref="D43:H57">
    <cfRule type="cellIs" priority="7" operator="notBetween" dxfId="1" stopIfTrue="1">
      <formula>D$9-5</formula>
      <formula>D$9+5</formula>
    </cfRule>
    <cfRule type="cellIs" priority="8" operator="notBetween" dxfId="0" stopIfTrue="1">
      <formula>D$9-4</formula>
      <formula>D$9+4</formula>
    </cfRule>
  </conditionalFormatting>
  <conditionalFormatting sqref="I43:I57">
    <cfRule type="containsText" priority="5" operator="containsText" dxfId="46" stopIfTrue="1" text="P">
      <formula>NOT(ISERROR(SEARCH("P",I43)))</formula>
    </cfRule>
    <cfRule type="containsText" priority="6" operator="containsText" dxfId="45" stopIfTrue="1" text="F">
      <formula>NOT(ISERROR(SEARCH("F",I43)))</formula>
    </cfRule>
  </conditionalFormatting>
  <conditionalFormatting sqref="L43:O57">
    <cfRule type="cellIs" priority="3" operator="notBetween" dxfId="1" stopIfTrue="1">
      <formula>L$9-5</formula>
      <formula>L$9+5</formula>
    </cfRule>
    <cfRule type="cellIs" priority="4" operator="notBetween" dxfId="0" stopIfTrue="1">
      <formula>L$9-4</formula>
      <formula>L$9+4</formula>
    </cfRule>
  </conditionalFormatting>
  <conditionalFormatting sqref="P43:P57">
    <cfRule type="cellIs" priority="1" operator="notBetween" dxfId="1" stopIfTrue="1">
      <formula>P$9-5</formula>
      <formula>P$9+5</formula>
    </cfRule>
    <cfRule type="cellIs" priority="2" operator="notBetween" dxfId="0" stopIfTrue="1">
      <formula>P$9-4</formula>
      <formula>P$9+4</formula>
    </cfRule>
  </conditionalFormatting>
  <dataValidations count="2">
    <dataValidation sqref="P4 P37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I10:I29 I43:I57" showDropDown="0" showInputMessage="1" showErrorMessage="1" allowBlank="0" type="list">
      <formula1>"Pass,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89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33" min="0" max="16383" man="1"/>
  </rowBreaks>
  <legacyDrawing r:id="anysvml"/>
</worksheet>
</file>

<file path=xl/worksheets/sheet7.xml><?xml version="1.0" encoding="utf-8"?>
<worksheet xmlns="http://schemas.openxmlformats.org/spreadsheetml/2006/main">
  <sheetPr codeName="Sheet14">
    <tabColor rgb="FFE0E0E0"/>
    <outlinePr summaryBelow="1" summaryRight="1"/>
    <pageSetUpPr fitToPage="1"/>
  </sheetPr>
  <dimension ref="A1:R62"/>
  <sheetViews>
    <sheetView zoomScaleNormal="100" workbookViewId="0">
      <selection activeCell="V49" sqref="V49"/>
    </sheetView>
  </sheetViews>
  <sheetFormatPr baseColWidth="8" defaultColWidth="9.1796875" defaultRowHeight="12.5"/>
  <cols>
    <col width="5.7265625" customWidth="1" style="1" min="1" max="2"/>
    <col width="18" customWidth="1" style="1" min="3" max="3"/>
    <col width="8.7265625" customWidth="1" style="1" min="4" max="9"/>
    <col width="5.7265625" customWidth="1" style="1" min="10" max="10"/>
    <col width="3.7265625" customWidth="1" style="1" min="11" max="11"/>
    <col width="8.7265625" customWidth="1" style="1" min="12" max="15"/>
    <col width="16.26953125" bestFit="1" customWidth="1" style="1" min="16" max="16"/>
    <col width="13.453125" customWidth="1" style="1" min="17" max="17"/>
    <col width="5.7265625" customWidth="1" style="1" min="18" max="18"/>
    <col width="9.1796875" customWidth="1" style="1" min="19" max="16384"/>
  </cols>
  <sheetData>
    <row r="1" ht="15" customFormat="1" customHeight="1" s="5" thickTop="1">
      <c r="A1" s="60" t="n"/>
      <c r="B1" s="61" t="n"/>
      <c r="C1" s="61" t="n"/>
      <c r="D1" s="61" t="n"/>
      <c r="E1" s="61" t="n"/>
      <c r="F1" s="61" t="n"/>
      <c r="G1" s="61" t="n"/>
      <c r="H1" s="61" t="n"/>
      <c r="I1" s="61" t="n"/>
      <c r="J1" s="61" t="n"/>
      <c r="K1" s="61" t="n"/>
      <c r="L1" s="61" t="n"/>
      <c r="M1" s="101" t="n"/>
      <c r="N1" s="101" t="n"/>
      <c r="O1" s="101" t="n"/>
      <c r="P1" s="101" t="n"/>
      <c r="Q1" s="101" t="n"/>
      <c r="R1" s="102" t="n"/>
    </row>
    <row r="2" ht="25" customFormat="1" customHeight="1" s="5">
      <c r="A2" s="530" t="inlineStr">
        <is>
          <t>Test Bed High Temperature Measurement Calibration</t>
        </is>
      </c>
      <c r="B2" s="461" t="n"/>
      <c r="C2" s="461" t="n"/>
      <c r="D2" s="461" t="n"/>
      <c r="E2" s="461" t="n"/>
      <c r="F2" s="461" t="n"/>
      <c r="G2" s="461" t="n"/>
      <c r="H2" s="461" t="n"/>
      <c r="I2" s="461" t="n"/>
      <c r="J2" s="461" t="n"/>
      <c r="K2" s="461" t="n"/>
      <c r="L2" s="461" t="n"/>
      <c r="M2" s="461" t="n"/>
      <c r="N2" s="461" t="n"/>
      <c r="O2" s="461" t="n"/>
      <c r="P2" s="461" t="n"/>
      <c r="Q2" s="461" t="n"/>
      <c r="R2" s="495" t="n"/>
    </row>
    <row r="3" ht="20.5" customFormat="1" customHeight="1" s="2" thickBot="1">
      <c r="A3" s="131" t="n"/>
      <c r="B3" s="130" t="n"/>
      <c r="C3" s="128" t="n"/>
      <c r="D3" s="129" t="n"/>
      <c r="E3" s="129" t="n"/>
      <c r="F3" s="128" t="n"/>
      <c r="G3" s="128" t="n"/>
      <c r="H3" s="128" t="n"/>
      <c r="I3" s="128" t="n"/>
      <c r="J3" s="128" t="n"/>
      <c r="K3" s="128" t="n"/>
      <c r="L3" s="128" t="n"/>
      <c r="M3" s="127" t="n"/>
      <c r="N3" s="127" t="n"/>
      <c r="O3" s="127" t="n"/>
      <c r="P3" s="127" t="n"/>
      <c r="Q3" s="127" t="n"/>
      <c r="R3" s="126" t="n"/>
    </row>
    <row r="4" ht="16" customFormat="1" customHeight="1" s="2" thickBot="1">
      <c r="A4" s="48" t="n"/>
      <c r="B4" s="10" t="inlineStr">
        <is>
          <t xml:space="preserve">Job No. </t>
        </is>
      </c>
      <c r="C4" s="194">
        <f>Title!C4</f>
        <v/>
      </c>
      <c r="D4" s="7" t="n"/>
      <c r="E4" s="10" t="inlineStr">
        <is>
          <t xml:space="preserve">Calibrated By. </t>
        </is>
      </c>
      <c r="F4" s="16">
        <f>Title!C3</f>
        <v/>
      </c>
      <c r="G4" s="472" t="n"/>
      <c r="H4" s="7" t="n"/>
      <c r="I4" s="7" t="n"/>
      <c r="J4" s="10" t="inlineStr">
        <is>
          <t xml:space="preserve">Calibration Date. </t>
        </is>
      </c>
      <c r="K4" s="531">
        <f>Title!C9</f>
        <v/>
      </c>
      <c r="L4" s="471" t="n"/>
      <c r="M4" s="472" t="n"/>
      <c r="N4" s="8" t="n"/>
      <c r="O4" s="10" t="inlineStr">
        <is>
          <t>Bed No.</t>
        </is>
      </c>
      <c r="P4" s="474">
        <f>Title!F3</f>
        <v/>
      </c>
      <c r="Q4" s="472" t="n"/>
      <c r="R4" s="65" t="n"/>
    </row>
    <row r="5" ht="15" customFormat="1" customHeight="1" s="2">
      <c r="A5" s="48" t="n"/>
      <c r="B5" s="7" t="n"/>
      <c r="C5" s="7" t="n"/>
      <c r="D5" s="10" t="n"/>
      <c r="E5" s="10" t="n"/>
      <c r="F5" s="7" t="n"/>
      <c r="G5" s="10" t="n"/>
      <c r="H5" s="8" t="n"/>
      <c r="I5" s="8" t="n"/>
      <c r="J5" s="18" t="n"/>
      <c r="K5" s="8" t="n"/>
      <c r="L5" s="8" t="n"/>
      <c r="M5" s="8" t="n"/>
      <c r="N5" s="8" t="n"/>
      <c r="O5" s="8" t="n"/>
      <c r="P5" s="8" t="n"/>
      <c r="Q5" s="8" t="n"/>
      <c r="R5" s="49" t="n"/>
    </row>
    <row r="6" ht="15" customFormat="1" customHeight="1" s="4">
      <c r="A6" s="47" t="inlineStr">
        <is>
          <t>Acceptable Deviation: +/- 5°C, adjust if error &gt;4°C</t>
        </is>
      </c>
      <c r="B6" s="21" t="n"/>
      <c r="C6" s="21" t="n"/>
      <c r="D6" s="21" t="n"/>
      <c r="E6" s="21" t="n"/>
      <c r="F6" s="21" t="n"/>
      <c r="G6" s="21" t="n"/>
      <c r="H6" s="78" t="n"/>
      <c r="I6" s="21" t="n"/>
      <c r="J6" s="21" t="n"/>
      <c r="K6" s="21" t="n"/>
      <c r="L6" s="21" t="n"/>
      <c r="M6" s="21" t="n"/>
      <c r="N6" s="21" t="n"/>
      <c r="O6" s="21" t="n"/>
      <c r="P6" s="21" t="n"/>
      <c r="Q6" s="21" t="n"/>
      <c r="R6" s="50" t="n"/>
    </row>
    <row r="7" ht="15" customFormat="1" customHeight="1" s="2" thickBot="1">
      <c r="A7" s="48" t="n"/>
      <c r="B7" s="383" t="n"/>
      <c r="C7" s="7" t="n"/>
      <c r="D7" s="7" t="n"/>
      <c r="E7" s="7" t="n"/>
      <c r="F7" s="7" t="n"/>
      <c r="G7" s="7" t="n"/>
      <c r="H7" s="7" t="n"/>
      <c r="I7" s="7" t="n"/>
      <c r="J7" s="7" t="n"/>
      <c r="K7" s="8" t="n"/>
      <c r="L7" s="8" t="n"/>
      <c r="M7" s="8" t="n"/>
      <c r="N7" s="8" t="n"/>
      <c r="O7" s="8" t="n"/>
      <c r="P7" s="8" t="n"/>
      <c r="Q7" s="8" t="n"/>
      <c r="R7" s="49" t="n"/>
    </row>
    <row r="8" ht="15" customFormat="1" customHeight="1" s="2">
      <c r="A8" s="51" t="n"/>
      <c r="B8" s="107" t="inlineStr">
        <is>
          <t>Chan.</t>
        </is>
      </c>
      <c r="C8" s="532" t="inlineStr">
        <is>
          <t>Channel Name</t>
        </is>
      </c>
      <c r="D8" s="533" t="inlineStr">
        <is>
          <t>Pre-Calibration Set Points °C.</t>
        </is>
      </c>
      <c r="E8" s="534" t="n"/>
      <c r="F8" s="534" t="n"/>
      <c r="G8" s="534" t="n"/>
      <c r="H8" s="535" t="n"/>
      <c r="I8" s="108" t="inlineStr">
        <is>
          <t>Pass/Fail</t>
        </is>
      </c>
      <c r="J8" s="7" t="n"/>
      <c r="K8" s="8" t="n"/>
      <c r="L8" s="533" t="inlineStr">
        <is>
          <t>Post-Calibration Set Points °C.</t>
        </is>
      </c>
      <c r="M8" s="534" t="n"/>
      <c r="N8" s="534" t="n"/>
      <c r="O8" s="534" t="n"/>
      <c r="P8" s="535" t="n"/>
      <c r="Q8" s="8" t="n"/>
      <c r="R8" s="49" t="n"/>
    </row>
    <row r="9" ht="15" customFormat="1" customHeight="1" s="2" thickBot="1">
      <c r="A9" s="51" t="n"/>
      <c r="B9" s="109" t="inlineStr">
        <is>
          <t>No.</t>
        </is>
      </c>
      <c r="C9" s="536" t="n"/>
      <c r="D9" s="537" t="n">
        <v>0</v>
      </c>
      <c r="E9" s="550" t="n">
        <v>250</v>
      </c>
      <c r="F9" s="538" t="n">
        <v>500</v>
      </c>
      <c r="G9" s="538" t="n">
        <v>750</v>
      </c>
      <c r="H9" s="538" t="n">
        <v>1000</v>
      </c>
      <c r="I9" s="143" t="inlineStr">
        <is>
          <t>(P/F)</t>
        </is>
      </c>
      <c r="J9" s="7" t="n"/>
      <c r="K9" s="8" t="n"/>
      <c r="L9" s="537" t="n">
        <v>0</v>
      </c>
      <c r="M9" s="538" t="n">
        <v>250</v>
      </c>
      <c r="N9" s="538" t="n">
        <v>500</v>
      </c>
      <c r="O9" s="538" t="n">
        <v>750</v>
      </c>
      <c r="P9" s="540" t="n">
        <v>1000</v>
      </c>
      <c r="Q9" s="8" t="n"/>
      <c r="R9" s="49" t="n"/>
    </row>
    <row r="10" ht="15" customFormat="1" customHeight="1" s="2">
      <c r="A10" s="51" t="n"/>
      <c r="B10" s="114" t="n">
        <v>49</v>
      </c>
      <c r="C10" s="246" t="inlineStr">
        <is>
          <t>T49</t>
        </is>
      </c>
      <c r="D10" s="541" t="n">
        <v>0.1</v>
      </c>
      <c r="E10" s="542" t="n">
        <v>248</v>
      </c>
      <c r="F10" s="542" t="n">
        <v>498.7</v>
      </c>
      <c r="G10" s="542" t="n">
        <v>748.7</v>
      </c>
      <c r="H10" s="542" t="n">
        <v>998.8</v>
      </c>
      <c r="I10" s="144" t="inlineStr">
        <is>
          <t>Pass</t>
        </is>
      </c>
      <c r="J10" s="7" t="n"/>
      <c r="K10" s="8" t="n"/>
      <c r="L10" s="541" t="n"/>
      <c r="M10" s="542" t="n"/>
      <c r="N10" s="542" t="n"/>
      <c r="O10" s="542" t="n"/>
      <c r="P10" s="546" t="n"/>
      <c r="Q10" s="8" t="n"/>
      <c r="R10" s="49" t="n"/>
    </row>
    <row r="11" ht="15" customFormat="1" customHeight="1" s="2">
      <c r="A11" s="51" t="n"/>
      <c r="B11" s="114" t="n">
        <v>50</v>
      </c>
      <c r="C11" s="246" t="inlineStr">
        <is>
          <t>T50</t>
        </is>
      </c>
      <c r="D11" s="541" t="n">
        <v>0</v>
      </c>
      <c r="E11" s="542" t="n">
        <v>250.1</v>
      </c>
      <c r="F11" s="542" t="n">
        <v>499.6</v>
      </c>
      <c r="G11" s="542" t="n">
        <v>748.5</v>
      </c>
      <c r="H11" s="542" t="n">
        <v>1000.5</v>
      </c>
      <c r="I11" s="144" t="inlineStr">
        <is>
          <t>Pass</t>
        </is>
      </c>
      <c r="J11" s="7" t="n"/>
      <c r="K11" s="8" t="n"/>
      <c r="L11" s="541" t="n"/>
      <c r="M11" s="542" t="n"/>
      <c r="N11" s="542" t="n"/>
      <c r="O11" s="542" t="n"/>
      <c r="P11" s="546" t="n"/>
      <c r="Q11" s="8" t="n"/>
      <c r="R11" s="49" t="n"/>
    </row>
    <row r="12" ht="15" customFormat="1" customHeight="1" s="2">
      <c r="A12" s="51" t="n"/>
      <c r="B12" s="114" t="n">
        <v>51</v>
      </c>
      <c r="C12" s="246" t="inlineStr">
        <is>
          <t>T51</t>
        </is>
      </c>
      <c r="D12" s="541" t="n">
        <v>0</v>
      </c>
      <c r="E12" s="542" t="n">
        <v>249.7</v>
      </c>
      <c r="F12" s="542" t="n">
        <v>500</v>
      </c>
      <c r="G12" s="542" t="n">
        <v>749.2</v>
      </c>
      <c r="H12" s="542" t="n">
        <v>998</v>
      </c>
      <c r="I12" s="144" t="inlineStr">
        <is>
          <t>Pass</t>
        </is>
      </c>
      <c r="J12" s="7" t="n"/>
      <c r="K12" s="8" t="n"/>
      <c r="L12" s="541" t="n"/>
      <c r="M12" s="542" t="n"/>
      <c r="N12" s="542" t="n"/>
      <c r="O12" s="542" t="n"/>
      <c r="P12" s="546" t="n"/>
      <c r="Q12" s="8" t="n"/>
      <c r="R12" s="49" t="n"/>
    </row>
    <row r="13" ht="15" customFormat="1" customHeight="1" s="2">
      <c r="A13" s="51" t="n"/>
      <c r="B13" s="114" t="n">
        <v>52</v>
      </c>
      <c r="C13" s="246" t="inlineStr">
        <is>
          <t>T52</t>
        </is>
      </c>
      <c r="D13" s="541" t="n">
        <v>0</v>
      </c>
      <c r="E13" s="542" t="n">
        <v>250.5</v>
      </c>
      <c r="F13" s="542" t="n">
        <v>499.2</v>
      </c>
      <c r="G13" s="542" t="n">
        <v>749.4</v>
      </c>
      <c r="H13" s="542" t="n">
        <v>998.7</v>
      </c>
      <c r="I13" s="144" t="inlineStr">
        <is>
          <t>Pass</t>
        </is>
      </c>
      <c r="J13" s="7" t="n"/>
      <c r="K13" s="8" t="n"/>
      <c r="L13" s="541" t="n"/>
      <c r="M13" s="542" t="n"/>
      <c r="N13" s="542" t="n"/>
      <c r="O13" s="542" t="n"/>
      <c r="P13" s="546" t="n"/>
      <c r="Q13" s="8" t="n"/>
      <c r="R13" s="49" t="n"/>
    </row>
    <row r="14" ht="15" customFormat="1" customHeight="1" s="2">
      <c r="A14" s="51" t="n"/>
      <c r="B14" s="114" t="n">
        <v>53</v>
      </c>
      <c r="C14" s="246" t="inlineStr">
        <is>
          <t>T53</t>
        </is>
      </c>
      <c r="D14" s="541" t="n">
        <v>0</v>
      </c>
      <c r="E14" s="542" t="n">
        <v>250.2</v>
      </c>
      <c r="F14" s="542" t="n">
        <v>500.1</v>
      </c>
      <c r="G14" s="542" t="n">
        <v>750.1</v>
      </c>
      <c r="H14" s="542" t="n">
        <v>999.9</v>
      </c>
      <c r="I14" s="144" t="inlineStr">
        <is>
          <t>Pass</t>
        </is>
      </c>
      <c r="J14" s="7" t="n"/>
      <c r="K14" s="8" t="n"/>
      <c r="L14" s="541" t="n"/>
      <c r="M14" s="542" t="n"/>
      <c r="N14" s="542" t="n"/>
      <c r="O14" s="542" t="n"/>
      <c r="P14" s="546" t="n"/>
      <c r="Q14" s="8" t="n"/>
      <c r="R14" s="49" t="n"/>
    </row>
    <row r="15" ht="15" customFormat="1" customHeight="1" s="2">
      <c r="A15" s="51" t="n"/>
      <c r="B15" s="114" t="n">
        <v>54</v>
      </c>
      <c r="C15" s="246" t="inlineStr">
        <is>
          <t>T54</t>
        </is>
      </c>
      <c r="D15" s="541" t="n"/>
      <c r="E15" s="542" t="n"/>
      <c r="F15" s="542" t="n"/>
      <c r="G15" s="542" t="n"/>
      <c r="H15" s="542" t="n"/>
      <c r="I15" s="144" t="n"/>
      <c r="J15" s="7" t="n"/>
      <c r="K15" s="8" t="n"/>
      <c r="L15" s="541" t="n"/>
      <c r="M15" s="542" t="n"/>
      <c r="N15" s="542" t="n"/>
      <c r="O15" s="542" t="n"/>
      <c r="P15" s="546" t="n"/>
      <c r="Q15" s="8" t="n"/>
      <c r="R15" s="49" t="n"/>
    </row>
    <row r="16" ht="15" customFormat="1" customHeight="1" s="2">
      <c r="A16" s="51" t="n"/>
      <c r="B16" s="114" t="n">
        <v>55</v>
      </c>
      <c r="C16" s="246" t="inlineStr">
        <is>
          <t>T55</t>
        </is>
      </c>
      <c r="D16" s="541" t="n"/>
      <c r="E16" s="542" t="n"/>
      <c r="F16" s="542" t="n"/>
      <c r="G16" s="542" t="n"/>
      <c r="H16" s="542" t="n"/>
      <c r="I16" s="144" t="n"/>
      <c r="J16" s="7" t="n"/>
      <c r="K16" s="8" t="n"/>
      <c r="L16" s="541" t="n"/>
      <c r="M16" s="542" t="n"/>
      <c r="N16" s="542" t="n"/>
      <c r="O16" s="542" t="n"/>
      <c r="P16" s="546" t="n"/>
      <c r="Q16" s="8" t="n"/>
      <c r="R16" s="49" t="n"/>
    </row>
    <row r="17" ht="15" customFormat="1" customHeight="1" s="2">
      <c r="A17" s="51" t="n"/>
      <c r="B17" s="114" t="n">
        <v>56</v>
      </c>
      <c r="C17" s="246" t="inlineStr">
        <is>
          <t>T56</t>
        </is>
      </c>
      <c r="D17" s="541" t="n"/>
      <c r="E17" s="542" t="n"/>
      <c r="F17" s="542" t="n"/>
      <c r="G17" s="542" t="n"/>
      <c r="H17" s="542" t="n"/>
      <c r="I17" s="144" t="n"/>
      <c r="J17" s="7" t="n"/>
      <c r="K17" s="8" t="n"/>
      <c r="L17" s="541" t="n"/>
      <c r="M17" s="542" t="n"/>
      <c r="N17" s="542" t="n"/>
      <c r="O17" s="542" t="n"/>
      <c r="P17" s="546" t="n"/>
      <c r="Q17" s="8" t="n"/>
      <c r="R17" s="49" t="n"/>
    </row>
    <row r="18" ht="15" customFormat="1" customHeight="1" s="2">
      <c r="A18" s="51" t="n"/>
      <c r="B18" s="114" t="n">
        <v>57</v>
      </c>
      <c r="C18" s="246" t="inlineStr">
        <is>
          <t>T57</t>
        </is>
      </c>
      <c r="D18" s="541" t="n"/>
      <c r="E18" s="542" t="n"/>
      <c r="F18" s="542" t="n"/>
      <c r="G18" s="542" t="n"/>
      <c r="H18" s="542" t="n"/>
      <c r="I18" s="144" t="n"/>
      <c r="J18" s="7" t="n"/>
      <c r="K18" s="8" t="n"/>
      <c r="L18" s="541" t="n"/>
      <c r="M18" s="542" t="n"/>
      <c r="N18" s="542" t="n"/>
      <c r="O18" s="542" t="n"/>
      <c r="P18" s="546" t="n"/>
      <c r="Q18" s="8" t="n"/>
      <c r="R18" s="49" t="n"/>
    </row>
    <row r="19" ht="15" customFormat="1" customHeight="1" s="2">
      <c r="A19" s="51" t="n"/>
      <c r="B19" s="114" t="n">
        <v>58</v>
      </c>
      <c r="C19" s="246" t="inlineStr">
        <is>
          <t>T58</t>
        </is>
      </c>
      <c r="D19" s="541" t="n">
        <v>-0.7</v>
      </c>
      <c r="E19" s="542" t="n">
        <v>249.2</v>
      </c>
      <c r="F19" s="542" t="n">
        <v>500.3</v>
      </c>
      <c r="G19" s="542" t="n">
        <v>749</v>
      </c>
      <c r="H19" s="542" t="n">
        <v>998.7</v>
      </c>
      <c r="I19" s="144" t="inlineStr">
        <is>
          <t>Pass</t>
        </is>
      </c>
      <c r="J19" s="7" t="n"/>
      <c r="K19" s="8" t="n"/>
      <c r="L19" s="541" t="n"/>
      <c r="M19" s="542" t="n"/>
      <c r="N19" s="542" t="n"/>
      <c r="O19" s="542" t="n"/>
      <c r="P19" s="546" t="n"/>
      <c r="Q19" s="8" t="n"/>
      <c r="R19" s="49" t="n"/>
    </row>
    <row r="20" ht="15" customFormat="1" customHeight="1" s="2">
      <c r="A20" s="51" t="n"/>
      <c r="B20" s="114" t="n">
        <v>59</v>
      </c>
      <c r="C20" s="246" t="inlineStr">
        <is>
          <t>T59</t>
        </is>
      </c>
      <c r="D20" s="541" t="n"/>
      <c r="E20" s="542" t="n"/>
      <c r="F20" s="542" t="n"/>
      <c r="G20" s="542" t="n"/>
      <c r="H20" s="542" t="n"/>
      <c r="I20" s="144" t="n"/>
      <c r="J20" s="7" t="n"/>
      <c r="K20" s="8" t="n"/>
      <c r="L20" s="541" t="n"/>
      <c r="M20" s="542" t="n"/>
      <c r="N20" s="542" t="n"/>
      <c r="O20" s="542" t="n"/>
      <c r="P20" s="546" t="n"/>
      <c r="Q20" s="8" t="n"/>
      <c r="R20" s="49" t="n"/>
    </row>
    <row r="21" ht="15" customFormat="1" customHeight="1" s="2">
      <c r="A21" s="51" t="n"/>
      <c r="B21" s="114" t="n">
        <v>60</v>
      </c>
      <c r="C21" s="246" t="inlineStr">
        <is>
          <t>T60</t>
        </is>
      </c>
      <c r="D21" s="541" t="n">
        <v>0.9</v>
      </c>
      <c r="E21" s="542" t="n">
        <v>250</v>
      </c>
      <c r="F21" s="542" t="n">
        <v>500.1</v>
      </c>
      <c r="G21" s="542" t="n">
        <v>750.9</v>
      </c>
      <c r="H21" s="542" t="n">
        <v>999</v>
      </c>
      <c r="I21" s="144" t="inlineStr">
        <is>
          <t>Pass</t>
        </is>
      </c>
      <c r="J21" s="7" t="n"/>
      <c r="K21" s="8" t="n"/>
      <c r="L21" s="541" t="n"/>
      <c r="M21" s="542" t="n"/>
      <c r="N21" s="542" t="n"/>
      <c r="O21" s="542" t="n"/>
      <c r="P21" s="546" t="n"/>
      <c r="Q21" s="8" t="n"/>
      <c r="R21" s="49" t="n"/>
    </row>
    <row r="22" ht="15" customFormat="1" customHeight="1" s="2">
      <c r="A22" s="51" t="n"/>
      <c r="B22" s="114" t="n">
        <v>61</v>
      </c>
      <c r="C22" s="246" t="inlineStr">
        <is>
          <t>T61</t>
        </is>
      </c>
      <c r="D22" s="541" t="n"/>
      <c r="E22" s="542" t="n"/>
      <c r="F22" s="542" t="n"/>
      <c r="G22" s="542" t="n"/>
      <c r="H22" s="542" t="n"/>
      <c r="I22" s="144" t="n"/>
      <c r="J22" s="7" t="n"/>
      <c r="K22" s="8" t="n"/>
      <c r="L22" s="541" t="n"/>
      <c r="M22" s="542" t="n"/>
      <c r="N22" s="542" t="n"/>
      <c r="O22" s="542" t="n"/>
      <c r="P22" s="546" t="n"/>
      <c r="Q22" s="8" t="n"/>
      <c r="R22" s="49" t="n"/>
    </row>
    <row r="23" ht="15" customFormat="1" customHeight="1" s="2">
      <c r="A23" s="51" t="n"/>
      <c r="B23" s="114" t="n">
        <v>62</v>
      </c>
      <c r="C23" s="246" t="inlineStr">
        <is>
          <t>T62</t>
        </is>
      </c>
      <c r="D23" s="541" t="n"/>
      <c r="E23" s="542" t="n"/>
      <c r="F23" s="542" t="n"/>
      <c r="G23" s="542" t="n"/>
      <c r="H23" s="542" t="n"/>
      <c r="I23" s="144" t="n"/>
      <c r="J23" s="7" t="n"/>
      <c r="K23" s="8" t="n"/>
      <c r="L23" s="541" t="n"/>
      <c r="M23" s="542" t="n"/>
      <c r="N23" s="542" t="n"/>
      <c r="O23" s="542" t="n"/>
      <c r="P23" s="546" t="n"/>
      <c r="Q23" s="8" t="n"/>
      <c r="R23" s="49" t="n"/>
    </row>
    <row r="24" ht="15" customFormat="1" customHeight="1" s="2">
      <c r="A24" s="51" t="n"/>
      <c r="B24" s="114" t="n">
        <v>63</v>
      </c>
      <c r="C24" s="246" t="inlineStr">
        <is>
          <t>T63</t>
        </is>
      </c>
      <c r="D24" s="541" t="n"/>
      <c r="E24" s="542" t="n"/>
      <c r="F24" s="542" t="n"/>
      <c r="G24" s="542" t="n"/>
      <c r="H24" s="542" t="n"/>
      <c r="I24" s="144" t="n"/>
      <c r="J24" s="7" t="n"/>
      <c r="K24" s="8" t="n"/>
      <c r="L24" s="541" t="n"/>
      <c r="M24" s="542" t="n"/>
      <c r="N24" s="542" t="n"/>
      <c r="O24" s="542" t="n"/>
      <c r="P24" s="546" t="n"/>
      <c r="Q24" s="8" t="n"/>
      <c r="R24" s="49" t="n"/>
    </row>
    <row r="25" ht="15" customFormat="1" customHeight="1" s="2">
      <c r="A25" s="51" t="n"/>
      <c r="B25" s="114" t="n">
        <v>64</v>
      </c>
      <c r="C25" s="246" t="inlineStr">
        <is>
          <t>T64</t>
        </is>
      </c>
      <c r="D25" s="541" t="n"/>
      <c r="E25" s="542" t="n"/>
      <c r="F25" s="542" t="n"/>
      <c r="G25" s="542" t="n"/>
      <c r="H25" s="542" t="n"/>
      <c r="I25" s="144" t="n"/>
      <c r="J25" s="7" t="n"/>
      <c r="K25" s="8" t="n"/>
      <c r="L25" s="541" t="n"/>
      <c r="M25" s="542" t="n"/>
      <c r="N25" s="542" t="n"/>
      <c r="O25" s="542" t="n"/>
      <c r="P25" s="546" t="n"/>
      <c r="Q25" s="8" t="n"/>
      <c r="R25" s="49" t="n"/>
    </row>
    <row r="26" ht="15" customFormat="1" customHeight="1" s="2">
      <c r="A26" s="51" t="n"/>
      <c r="B26" s="114" t="n">
        <v>65</v>
      </c>
      <c r="C26" s="246" t="inlineStr">
        <is>
          <t>T65</t>
        </is>
      </c>
      <c r="D26" s="541" t="n"/>
      <c r="E26" s="542" t="n"/>
      <c r="F26" s="542" t="n"/>
      <c r="G26" s="542" t="n"/>
      <c r="H26" s="542" t="n"/>
      <c r="I26" s="144" t="n"/>
      <c r="J26" s="7" t="n"/>
      <c r="K26" s="8" t="n"/>
      <c r="L26" s="541" t="n"/>
      <c r="M26" s="542" t="n"/>
      <c r="N26" s="542" t="n"/>
      <c r="O26" s="542" t="n"/>
      <c r="P26" s="546" t="n"/>
      <c r="Q26" s="8" t="n"/>
      <c r="R26" s="49" t="n"/>
    </row>
    <row r="27" ht="15" customFormat="1" customHeight="1" s="2">
      <c r="A27" s="51" t="n"/>
      <c r="B27" s="114" t="n">
        <v>66</v>
      </c>
      <c r="C27" s="246" t="inlineStr">
        <is>
          <t>T66</t>
        </is>
      </c>
      <c r="D27" s="541" t="n"/>
      <c r="E27" s="542" t="n"/>
      <c r="F27" s="542" t="n"/>
      <c r="G27" s="542" t="n"/>
      <c r="H27" s="542" t="n"/>
      <c r="I27" s="144" t="n"/>
      <c r="J27" s="7" t="n"/>
      <c r="K27" s="8" t="n"/>
      <c r="L27" s="541" t="n"/>
      <c r="M27" s="542" t="n"/>
      <c r="N27" s="542" t="n"/>
      <c r="O27" s="542" t="n"/>
      <c r="P27" s="546" t="n"/>
      <c r="Q27" s="8" t="n"/>
      <c r="R27" s="49" t="n"/>
    </row>
    <row r="28" ht="15" customFormat="1" customHeight="1" s="2">
      <c r="A28" s="51" t="n"/>
      <c r="B28" s="114" t="n">
        <v>67</v>
      </c>
      <c r="C28" s="246" t="inlineStr">
        <is>
          <t>T67</t>
        </is>
      </c>
      <c r="D28" s="541" t="n"/>
      <c r="E28" s="542" t="n"/>
      <c r="F28" s="542" t="n"/>
      <c r="G28" s="542" t="n"/>
      <c r="H28" s="542" t="n"/>
      <c r="I28" s="144" t="n"/>
      <c r="J28" s="7" t="n"/>
      <c r="K28" s="8" t="n"/>
      <c r="L28" s="541" t="n"/>
      <c r="M28" s="542" t="n"/>
      <c r="N28" s="542" t="n"/>
      <c r="O28" s="542" t="n"/>
      <c r="P28" s="546" t="n"/>
      <c r="Q28" s="8" t="n"/>
      <c r="R28" s="49" t="n"/>
    </row>
    <row r="29" ht="15" customFormat="1" customHeight="1" s="2" thickBot="1">
      <c r="A29" s="51" t="n"/>
      <c r="B29" s="114" t="n">
        <v>68</v>
      </c>
      <c r="C29" s="246" t="inlineStr">
        <is>
          <t>T68</t>
        </is>
      </c>
      <c r="D29" s="541" t="n"/>
      <c r="E29" s="542" t="n"/>
      <c r="F29" s="542" t="n"/>
      <c r="G29" s="542" t="n"/>
      <c r="H29" s="542" t="n"/>
      <c r="I29" s="144" t="n"/>
      <c r="J29" s="7" t="n"/>
      <c r="K29" s="8" t="n"/>
      <c r="L29" s="541" t="n"/>
      <c r="M29" s="542" t="n"/>
      <c r="N29" s="542" t="n"/>
      <c r="O29" s="542" t="n"/>
      <c r="P29" s="546" t="n"/>
      <c r="Q29" s="8" t="n"/>
      <c r="R29" s="49" t="n"/>
    </row>
    <row r="30" ht="15" customFormat="1" customHeight="1" s="2" thickBot="1">
      <c r="A30" s="51" t="n"/>
      <c r="B30" s="54" t="n"/>
      <c r="C30" s="10" t="inlineStr">
        <is>
          <t xml:space="preserve">         Pre-Cals. Checked By.</t>
        </is>
      </c>
      <c r="D30" s="379" t="n"/>
      <c r="E30" s="547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123" t="n"/>
    </row>
    <row r="31" ht="15" customFormat="1" customHeight="1" s="2" thickBot="1">
      <c r="A31" s="68" t="n"/>
      <c r="B31" s="18" t="n"/>
      <c r="C31" s="54" t="n"/>
      <c r="D31" s="54" t="n"/>
      <c r="E31" s="104" t="n"/>
      <c r="F31" s="18" t="inlineStr">
        <is>
          <t>DEVT No.</t>
        </is>
      </c>
      <c r="G31" s="392" t="inlineStr">
        <is>
          <t>Make / Model</t>
        </is>
      </c>
      <c r="H31" s="461" t="n"/>
      <c r="I31" s="461" t="n"/>
      <c r="J31" s="395" t="inlineStr">
        <is>
          <t>Calibration Due</t>
        </is>
      </c>
      <c r="K31" s="509" t="n"/>
      <c r="L31" s="509" t="n"/>
      <c r="M31" s="104" t="n"/>
      <c r="N31" s="548" t="inlineStr">
        <is>
          <t xml:space="preserve">Set Points are </t>
        </is>
      </c>
      <c r="O31" s="119" t="inlineStr">
        <is>
          <t>200 and 800 °C</t>
        </is>
      </c>
      <c r="P31" s="120" t="n"/>
      <c r="Q31" s="551" t="n"/>
      <c r="R31" s="49" t="n"/>
    </row>
    <row r="32" ht="15" customFormat="1" customHeight="1" s="2" thickBot="1">
      <c r="A32" s="68" t="n"/>
      <c r="B32" s="18" t="n"/>
      <c r="C32" s="54" t="n"/>
      <c r="D32" s="54" t="n"/>
      <c r="E32" s="104" t="inlineStr">
        <is>
          <t xml:space="preserve">Temperature Simulator Used. </t>
        </is>
      </c>
      <c r="F32" s="379" t="n">
        <v>105</v>
      </c>
      <c r="G32" s="386" t="inlineStr">
        <is>
          <t>Druck DPI620</t>
        </is>
      </c>
      <c r="H32" s="471" t="n"/>
      <c r="I32" s="547" t="n"/>
      <c r="J32" s="549" t="n">
        <v>44891</v>
      </c>
      <c r="K32" s="471" t="n"/>
      <c r="L32" s="547" t="n"/>
      <c r="M32" s="104" t="n"/>
      <c r="N32" s="10" t="n"/>
      <c r="O32" s="18" t="n"/>
      <c r="P32" s="10" t="n"/>
      <c r="Q32" s="10" t="n"/>
      <c r="R32" s="49" t="n"/>
    </row>
    <row r="33" ht="15" customFormat="1" customHeight="1" s="2" thickBot="1">
      <c r="A33" s="122" t="n"/>
      <c r="B33" s="121" t="n"/>
      <c r="C33" s="121" t="n"/>
      <c r="D33" s="121" t="n"/>
      <c r="E33" s="121" t="n"/>
      <c r="F33" s="121" t="n"/>
      <c r="G33" s="121" t="n"/>
      <c r="H33" s="121" t="n"/>
      <c r="I33" s="121" t="n"/>
      <c r="J33" s="121" t="n"/>
      <c r="K33" s="121" t="n"/>
      <c r="L33" s="121" t="n"/>
      <c r="M33" s="121" t="n"/>
      <c r="N33" s="75" t="n"/>
      <c r="O33" s="75" t="n"/>
      <c r="P33" s="75" t="n"/>
      <c r="Q33" s="75" t="n"/>
      <c r="R33" s="58" t="n"/>
    </row>
    <row r="34" ht="15" customFormat="1" customHeight="1" s="2" thickTop="1">
      <c r="A34" s="60" t="n"/>
      <c r="B34" s="61" t="n"/>
      <c r="C34" s="61" t="n"/>
      <c r="D34" s="61" t="n"/>
      <c r="E34" s="61" t="n"/>
      <c r="F34" s="61" t="n"/>
      <c r="G34" s="61" t="n"/>
      <c r="H34" s="61" t="n"/>
      <c r="I34" s="61" t="n"/>
      <c r="J34" s="61" t="n"/>
      <c r="K34" s="61" t="n"/>
      <c r="L34" s="61" t="n"/>
      <c r="M34" s="101" t="n"/>
      <c r="N34" s="101" t="n"/>
      <c r="O34" s="101" t="n"/>
      <c r="P34" s="101" t="n"/>
      <c r="Q34" s="101" t="n"/>
      <c r="R34" s="102" t="n"/>
    </row>
    <row r="35" ht="25" customFormat="1" customHeight="1" s="2">
      <c r="A35" s="530" t="inlineStr">
        <is>
          <t>Test Bed High Temperature Measurement Calibration</t>
        </is>
      </c>
      <c r="B35" s="461" t="n"/>
      <c r="C35" s="461" t="n"/>
      <c r="D35" s="461" t="n"/>
      <c r="E35" s="461" t="n"/>
      <c r="F35" s="461" t="n"/>
      <c r="G35" s="461" t="n"/>
      <c r="H35" s="461" t="n"/>
      <c r="I35" s="461" t="n"/>
      <c r="J35" s="461" t="n"/>
      <c r="K35" s="461" t="n"/>
      <c r="L35" s="461" t="n"/>
      <c r="M35" s="461" t="n"/>
      <c r="N35" s="461" t="n"/>
      <c r="O35" s="461" t="n"/>
      <c r="P35" s="461" t="n"/>
      <c r="Q35" s="461" t="n"/>
      <c r="R35" s="495" t="n"/>
    </row>
    <row r="36" ht="15" customFormat="1" customHeight="1" s="2" thickBot="1">
      <c r="A36" s="131" t="n"/>
      <c r="B36" s="130" t="n"/>
      <c r="C36" s="128" t="n"/>
      <c r="D36" s="129" t="n"/>
      <c r="E36" s="129" t="n"/>
      <c r="F36" s="128" t="n"/>
      <c r="G36" s="128" t="n"/>
      <c r="H36" s="128" t="n"/>
      <c r="I36" s="128" t="n"/>
      <c r="J36" s="128" t="n"/>
      <c r="K36" s="128" t="n"/>
      <c r="L36" s="128" t="n"/>
      <c r="M36" s="127" t="n"/>
      <c r="N36" s="127" t="n"/>
      <c r="O36" s="127" t="n"/>
      <c r="P36" s="127" t="n"/>
      <c r="Q36" s="127" t="n"/>
      <c r="R36" s="126" t="n"/>
    </row>
    <row r="37" ht="15" customFormat="1" customHeight="1" s="2" thickBot="1">
      <c r="A37" s="48" t="n"/>
      <c r="B37" s="10" t="inlineStr">
        <is>
          <t xml:space="preserve">Job No. </t>
        </is>
      </c>
      <c r="C37" s="194">
        <f>Title!C4</f>
        <v/>
      </c>
      <c r="D37" s="7" t="n"/>
      <c r="E37" s="10" t="inlineStr">
        <is>
          <t xml:space="preserve">Calibrated By. </t>
        </is>
      </c>
      <c r="F37" s="16">
        <f>Title!C3</f>
        <v/>
      </c>
      <c r="G37" s="472" t="n"/>
      <c r="H37" s="7" t="n"/>
      <c r="I37" s="7" t="n"/>
      <c r="J37" s="10" t="inlineStr">
        <is>
          <t xml:space="preserve">Calibration Date. </t>
        </is>
      </c>
      <c r="K37" s="531">
        <f>Title!C9</f>
        <v/>
      </c>
      <c r="L37" s="471" t="n"/>
      <c r="M37" s="472" t="n"/>
      <c r="N37" s="8" t="n"/>
      <c r="O37" s="10" t="inlineStr">
        <is>
          <t>Bed No.</t>
        </is>
      </c>
      <c r="P37" s="474">
        <f>Title!F3</f>
        <v/>
      </c>
      <c r="Q37" s="472" t="n"/>
      <c r="R37" s="65" t="n"/>
    </row>
    <row r="38" ht="15" customFormat="1" customHeight="1" s="2">
      <c r="A38" s="48" t="n"/>
      <c r="B38" s="7" t="n"/>
      <c r="C38" s="7" t="n"/>
      <c r="D38" s="10" t="n"/>
      <c r="E38" s="10" t="n"/>
      <c r="F38" s="7" t="n"/>
      <c r="G38" s="10" t="n"/>
      <c r="H38" s="8" t="n"/>
      <c r="I38" s="8" t="n"/>
      <c r="J38" s="18" t="n"/>
      <c r="K38" s="8" t="n"/>
      <c r="L38" s="8" t="n"/>
      <c r="M38" s="8" t="n"/>
      <c r="N38" s="8" t="n"/>
      <c r="O38" s="8" t="n"/>
      <c r="P38" s="8" t="n"/>
      <c r="Q38" s="8" t="n"/>
      <c r="R38" s="49" t="n"/>
    </row>
    <row r="39" ht="15" customFormat="1" customHeight="1" s="2">
      <c r="A39" s="47" t="inlineStr">
        <is>
          <t>Acceptable Deviation: +/- 5°C, adjust if error &gt;4°C</t>
        </is>
      </c>
      <c r="B39" s="21" t="n"/>
      <c r="C39" s="21" t="n"/>
      <c r="D39" s="21" t="n"/>
      <c r="E39" s="21" t="n"/>
      <c r="F39" s="21" t="n"/>
      <c r="G39" s="21" t="n"/>
      <c r="H39" s="78" t="n"/>
      <c r="I39" s="21" t="n"/>
      <c r="J39" s="21" t="n"/>
      <c r="K39" s="21" t="n"/>
      <c r="L39" s="21" t="n"/>
      <c r="M39" s="21" t="n"/>
      <c r="N39" s="21" t="n"/>
      <c r="O39" s="21" t="n"/>
      <c r="P39" s="21" t="n"/>
      <c r="Q39" s="21" t="n"/>
      <c r="R39" s="50" t="n"/>
    </row>
    <row r="40" ht="15" customFormat="1" customHeight="1" s="2" thickBot="1">
      <c r="A40" s="48" t="n"/>
      <c r="B40" s="383" t="n"/>
      <c r="C40" s="7" t="n"/>
      <c r="D40" s="7" t="n"/>
      <c r="E40" s="7" t="n"/>
      <c r="F40" s="7" t="n"/>
      <c r="G40" s="7" t="n"/>
      <c r="H40" s="7" t="n"/>
      <c r="I40" s="7" t="n"/>
      <c r="J40" s="7" t="n"/>
      <c r="K40" s="8" t="n"/>
      <c r="L40" s="8" t="n"/>
      <c r="M40" s="8" t="n"/>
      <c r="N40" s="8" t="n"/>
      <c r="O40" s="8" t="n"/>
      <c r="P40" s="8" t="n"/>
      <c r="Q40" s="8" t="n"/>
      <c r="R40" s="49" t="n"/>
    </row>
    <row r="41" ht="15" customFormat="1" customHeight="1" s="2">
      <c r="A41" s="51" t="n"/>
      <c r="B41" s="107" t="inlineStr">
        <is>
          <t>Chan.</t>
        </is>
      </c>
      <c r="C41" s="532" t="inlineStr">
        <is>
          <t>Channel Name</t>
        </is>
      </c>
      <c r="D41" s="533" t="inlineStr">
        <is>
          <t>Pre-Calibration Set Points °C.</t>
        </is>
      </c>
      <c r="E41" s="534" t="n"/>
      <c r="F41" s="534" t="n"/>
      <c r="G41" s="534" t="n"/>
      <c r="H41" s="535" t="n"/>
      <c r="I41" s="108" t="inlineStr">
        <is>
          <t>Pass/Fail</t>
        </is>
      </c>
      <c r="J41" s="7" t="n"/>
      <c r="K41" s="8" t="n"/>
      <c r="L41" s="533" t="inlineStr">
        <is>
          <t>Post-Calibration Set Points °C.</t>
        </is>
      </c>
      <c r="M41" s="534" t="n"/>
      <c r="N41" s="534" t="n"/>
      <c r="O41" s="534" t="n"/>
      <c r="P41" s="535" t="n"/>
      <c r="Q41" s="8" t="n"/>
      <c r="R41" s="49" t="n"/>
    </row>
    <row r="42" ht="15" customFormat="1" customHeight="1" s="2" thickBot="1">
      <c r="A42" s="51" t="n"/>
      <c r="B42" s="109" t="inlineStr">
        <is>
          <t>No.</t>
        </is>
      </c>
      <c r="C42" s="536" t="n"/>
      <c r="D42" s="537" t="n">
        <v>0</v>
      </c>
      <c r="E42" s="550" t="n">
        <v>250</v>
      </c>
      <c r="F42" s="538" t="n">
        <v>500</v>
      </c>
      <c r="G42" s="538" t="n">
        <v>750</v>
      </c>
      <c r="H42" s="538" t="n">
        <v>1000</v>
      </c>
      <c r="I42" s="143" t="inlineStr">
        <is>
          <t>(P/F)</t>
        </is>
      </c>
      <c r="J42" s="7" t="n"/>
      <c r="K42" s="8" t="n"/>
      <c r="L42" s="537" t="n">
        <v>0</v>
      </c>
      <c r="M42" s="538" t="n">
        <v>250</v>
      </c>
      <c r="N42" s="538" t="n">
        <v>500</v>
      </c>
      <c r="O42" s="538" t="n">
        <v>750</v>
      </c>
      <c r="P42" s="540" t="n">
        <v>1000</v>
      </c>
      <c r="Q42" s="8" t="n"/>
      <c r="R42" s="49" t="n"/>
    </row>
    <row r="43" ht="15" customFormat="1" customHeight="1" s="2">
      <c r="A43" s="51" t="n"/>
      <c r="B43" s="114" t="n">
        <v>69</v>
      </c>
      <c r="C43" s="124" t="n"/>
      <c r="D43" s="541" t="n">
        <v>0</v>
      </c>
      <c r="E43" s="542" t="n"/>
      <c r="F43" s="542" t="n"/>
      <c r="G43" s="542" t="n"/>
      <c r="H43" s="542" t="n"/>
      <c r="I43" s="144" t="n"/>
      <c r="J43" s="7" t="n"/>
      <c r="K43" s="8" t="n"/>
      <c r="L43" s="541" t="n"/>
      <c r="M43" s="542" t="n"/>
      <c r="N43" s="542" t="n"/>
      <c r="O43" s="542" t="n"/>
      <c r="P43" s="546" t="n"/>
      <c r="Q43" s="8" t="n"/>
      <c r="R43" s="49" t="n"/>
    </row>
    <row r="44" ht="15" customFormat="1" customHeight="1" s="2">
      <c r="A44" s="51" t="n"/>
      <c r="B44" s="114" t="n">
        <v>70</v>
      </c>
      <c r="C44" s="124" t="n"/>
      <c r="D44" s="541" t="n"/>
      <c r="E44" s="542" t="n"/>
      <c r="F44" s="542" t="n"/>
      <c r="G44" s="542" t="n"/>
      <c r="H44" s="542" t="n"/>
      <c r="I44" s="144" t="n"/>
      <c r="J44" s="7" t="n"/>
      <c r="K44" s="8" t="n"/>
      <c r="L44" s="541" t="n"/>
      <c r="M44" s="542" t="n"/>
      <c r="N44" s="542" t="n"/>
      <c r="O44" s="542" t="n"/>
      <c r="P44" s="546" t="n"/>
      <c r="Q44" s="8" t="n"/>
      <c r="R44" s="49" t="n"/>
    </row>
    <row r="45" ht="13" customHeight="1">
      <c r="A45" s="51" t="n"/>
      <c r="B45" s="114" t="n">
        <v>71</v>
      </c>
      <c r="C45" s="124" t="n"/>
      <c r="D45" s="541" t="n"/>
      <c r="E45" s="542" t="n"/>
      <c r="F45" s="542" t="n"/>
      <c r="G45" s="542" t="n"/>
      <c r="H45" s="542" t="n"/>
      <c r="I45" s="144" t="n"/>
      <c r="J45" s="7" t="n"/>
      <c r="K45" s="8" t="n"/>
      <c r="L45" s="541" t="n"/>
      <c r="M45" s="542" t="n"/>
      <c r="N45" s="542" t="n"/>
      <c r="O45" s="542" t="n"/>
      <c r="P45" s="546" t="n"/>
      <c r="Q45" s="8" t="n"/>
      <c r="R45" s="49" t="n"/>
    </row>
    <row r="46" ht="13" customHeight="1">
      <c r="A46" s="51" t="n"/>
      <c r="B46" s="114" t="n">
        <v>72</v>
      </c>
      <c r="C46" s="124" t="n"/>
      <c r="D46" s="541" t="n"/>
      <c r="E46" s="542" t="n"/>
      <c r="F46" s="542" t="n"/>
      <c r="G46" s="542" t="n"/>
      <c r="H46" s="542" t="n"/>
      <c r="I46" s="144" t="n"/>
      <c r="J46" s="7" t="n"/>
      <c r="K46" s="8" t="n"/>
      <c r="L46" s="541" t="n"/>
      <c r="M46" s="542" t="n"/>
      <c r="N46" s="542" t="n"/>
      <c r="O46" s="542" t="n"/>
      <c r="P46" s="546" t="n"/>
      <c r="Q46" s="8" t="n"/>
      <c r="R46" s="49" t="n"/>
    </row>
    <row r="47" ht="13" customHeight="1">
      <c r="A47" s="51" t="n"/>
      <c r="B47" s="114" t="n">
        <v>73</v>
      </c>
      <c r="C47" s="124" t="n"/>
      <c r="D47" s="541" t="n"/>
      <c r="E47" s="542" t="n"/>
      <c r="F47" s="542" t="n"/>
      <c r="G47" s="542" t="n"/>
      <c r="H47" s="542" t="n"/>
      <c r="I47" s="144" t="n"/>
      <c r="J47" s="7" t="n"/>
      <c r="K47" s="8" t="n"/>
      <c r="L47" s="541" t="n"/>
      <c r="M47" s="542" t="n"/>
      <c r="N47" s="542" t="n"/>
      <c r="O47" s="542" t="n"/>
      <c r="P47" s="546" t="n"/>
      <c r="Q47" s="8" t="n"/>
      <c r="R47" s="49" t="n"/>
    </row>
    <row r="48" ht="13" customHeight="1">
      <c r="A48" s="51" t="n"/>
      <c r="B48" s="114" t="n">
        <v>74</v>
      </c>
      <c r="C48" s="124" t="n"/>
      <c r="D48" s="541" t="n"/>
      <c r="E48" s="542" t="n"/>
      <c r="F48" s="542" t="n"/>
      <c r="G48" s="542" t="n"/>
      <c r="H48" s="542" t="n"/>
      <c r="I48" s="144" t="n"/>
      <c r="J48" s="7" t="n"/>
      <c r="K48" s="8" t="n"/>
      <c r="L48" s="541" t="n"/>
      <c r="M48" s="542" t="n"/>
      <c r="N48" s="542" t="n"/>
      <c r="O48" s="542" t="n"/>
      <c r="P48" s="546" t="n"/>
      <c r="Q48" s="8" t="n"/>
      <c r="R48" s="49" t="n"/>
    </row>
    <row r="49" ht="13" customHeight="1">
      <c r="A49" s="51" t="n"/>
      <c r="B49" s="114" t="n">
        <v>75</v>
      </c>
      <c r="C49" s="124" t="n"/>
      <c r="D49" s="541" t="n"/>
      <c r="E49" s="542" t="n"/>
      <c r="F49" s="542" t="n"/>
      <c r="G49" s="542" t="n"/>
      <c r="H49" s="542" t="n"/>
      <c r="I49" s="144" t="n"/>
      <c r="J49" s="7" t="n"/>
      <c r="K49" s="8" t="n"/>
      <c r="L49" s="541" t="n"/>
      <c r="M49" s="542" t="n"/>
      <c r="N49" s="542" t="n"/>
      <c r="O49" s="542" t="n"/>
      <c r="P49" s="546" t="n"/>
      <c r="Q49" s="8" t="n"/>
      <c r="R49" s="49" t="n"/>
    </row>
    <row r="50" ht="13" customHeight="1">
      <c r="A50" s="51" t="n"/>
      <c r="B50" s="114" t="n">
        <v>76</v>
      </c>
      <c r="C50" s="124" t="n"/>
      <c r="D50" s="541" t="n"/>
      <c r="E50" s="542" t="n"/>
      <c r="F50" s="542" t="n"/>
      <c r="G50" s="542" t="n"/>
      <c r="H50" s="542" t="n"/>
      <c r="I50" s="144" t="n"/>
      <c r="J50" s="7" t="n"/>
      <c r="K50" s="8" t="n"/>
      <c r="L50" s="541" t="n"/>
      <c r="M50" s="542" t="n"/>
      <c r="N50" s="542" t="n"/>
      <c r="O50" s="542" t="n"/>
      <c r="P50" s="546" t="n"/>
      <c r="Q50" s="8" t="n"/>
      <c r="R50" s="49" t="n"/>
    </row>
    <row r="51" ht="13" customHeight="1">
      <c r="A51" s="51" t="n"/>
      <c r="B51" s="114" t="n">
        <v>77</v>
      </c>
      <c r="C51" s="124" t="n"/>
      <c r="D51" s="541" t="n"/>
      <c r="E51" s="542" t="n"/>
      <c r="F51" s="542" t="n"/>
      <c r="G51" s="542" t="n"/>
      <c r="H51" s="542" t="n"/>
      <c r="I51" s="144" t="n"/>
      <c r="J51" s="7" t="n"/>
      <c r="K51" s="8" t="n"/>
      <c r="L51" s="541" t="n"/>
      <c r="M51" s="542" t="n"/>
      <c r="N51" s="542" t="n"/>
      <c r="O51" s="542" t="n"/>
      <c r="P51" s="546" t="n"/>
      <c r="Q51" s="8" t="n"/>
      <c r="R51" s="49" t="n"/>
    </row>
    <row r="52" ht="13" customHeight="1">
      <c r="A52" s="51" t="n"/>
      <c r="B52" s="114" t="n">
        <v>78</v>
      </c>
      <c r="C52" s="124" t="n"/>
      <c r="D52" s="541" t="n"/>
      <c r="E52" s="542" t="n"/>
      <c r="F52" s="542" t="n"/>
      <c r="G52" s="542" t="n"/>
      <c r="H52" s="542" t="n"/>
      <c r="I52" s="144" t="n"/>
      <c r="J52" s="7" t="n"/>
      <c r="K52" s="8" t="n"/>
      <c r="L52" s="541" t="n"/>
      <c r="M52" s="542" t="n"/>
      <c r="N52" s="542" t="n"/>
      <c r="O52" s="542" t="n"/>
      <c r="P52" s="546" t="n"/>
      <c r="Q52" s="8" t="n"/>
      <c r="R52" s="49" t="n"/>
    </row>
    <row r="53" ht="13" customHeight="1">
      <c r="A53" s="51" t="n"/>
      <c r="B53" s="114" t="n">
        <v>79</v>
      </c>
      <c r="C53" s="124" t="n"/>
      <c r="D53" s="541" t="n"/>
      <c r="E53" s="542" t="n"/>
      <c r="F53" s="542" t="n"/>
      <c r="G53" s="542" t="n"/>
      <c r="H53" s="542" t="n"/>
      <c r="I53" s="144" t="n"/>
      <c r="J53" s="7" t="n"/>
      <c r="K53" s="8" t="n"/>
      <c r="L53" s="541" t="n"/>
      <c r="M53" s="542" t="n"/>
      <c r="N53" s="542" t="n"/>
      <c r="O53" s="542" t="n"/>
      <c r="P53" s="546" t="n"/>
      <c r="Q53" s="8" t="n"/>
      <c r="R53" s="49" t="n"/>
    </row>
    <row r="54" ht="13" customHeight="1">
      <c r="A54" s="51" t="n"/>
      <c r="B54" s="114" t="n">
        <v>80</v>
      </c>
      <c r="C54" s="124" t="n"/>
      <c r="D54" s="541" t="n"/>
      <c r="E54" s="542" t="n"/>
      <c r="F54" s="542" t="n"/>
      <c r="G54" s="542" t="n"/>
      <c r="H54" s="542" t="n"/>
      <c r="I54" s="144" t="n"/>
      <c r="J54" s="7" t="n"/>
      <c r="K54" s="8" t="n"/>
      <c r="L54" s="541" t="n"/>
      <c r="M54" s="542" t="n"/>
      <c r="N54" s="542" t="n"/>
      <c r="O54" s="542" t="n"/>
      <c r="P54" s="546" t="n"/>
      <c r="Q54" s="8" t="n"/>
      <c r="R54" s="49" t="n"/>
    </row>
    <row r="55" ht="13" customHeight="1">
      <c r="A55" s="51" t="n"/>
      <c r="B55" s="114" t="n">
        <v>81</v>
      </c>
      <c r="C55" s="124" t="n"/>
      <c r="D55" s="541" t="n"/>
      <c r="E55" s="542" t="n"/>
      <c r="F55" s="542" t="n"/>
      <c r="G55" s="542" t="n"/>
      <c r="H55" s="542" t="n"/>
      <c r="I55" s="144" t="n"/>
      <c r="J55" s="7" t="n"/>
      <c r="K55" s="8" t="n"/>
      <c r="L55" s="541" t="n"/>
      <c r="M55" s="542" t="n"/>
      <c r="N55" s="542" t="n"/>
      <c r="O55" s="542" t="n"/>
      <c r="P55" s="546" t="n"/>
      <c r="Q55" s="8" t="n"/>
      <c r="R55" s="49" t="n"/>
    </row>
    <row r="56" ht="13" customHeight="1">
      <c r="A56" s="51" t="n"/>
      <c r="B56" s="114" t="n">
        <v>82</v>
      </c>
      <c r="C56" s="124" t="n"/>
      <c r="D56" s="541" t="n"/>
      <c r="E56" s="542" t="n"/>
      <c r="F56" s="542" t="n"/>
      <c r="G56" s="542" t="n"/>
      <c r="H56" s="542" t="n"/>
      <c r="I56" s="144" t="n"/>
      <c r="J56" s="7" t="n"/>
      <c r="K56" s="8" t="n"/>
      <c r="L56" s="541" t="n"/>
      <c r="M56" s="542" t="n"/>
      <c r="N56" s="542" t="n"/>
      <c r="O56" s="542" t="n"/>
      <c r="P56" s="546" t="n"/>
      <c r="Q56" s="8" t="n"/>
      <c r="R56" s="49" t="n"/>
    </row>
    <row r="57" ht="13.5" customHeight="1" thickBot="1">
      <c r="A57" s="51" t="n"/>
      <c r="B57" s="114" t="n">
        <v>83</v>
      </c>
      <c r="C57" s="124" t="n"/>
      <c r="D57" s="541" t="n"/>
      <c r="E57" s="542" t="n"/>
      <c r="F57" s="542" t="n"/>
      <c r="G57" s="542" t="n"/>
      <c r="H57" s="542" t="n"/>
      <c r="I57" s="144" t="n"/>
      <c r="J57" s="7" t="n"/>
      <c r="K57" s="8" t="n"/>
      <c r="L57" s="541" t="n"/>
      <c r="M57" s="542" t="n"/>
      <c r="N57" s="542" t="n"/>
      <c r="O57" s="542" t="n"/>
      <c r="P57" s="546" t="n"/>
      <c r="Q57" s="8" t="n"/>
      <c r="R57" s="49" t="n"/>
    </row>
    <row r="58" ht="13" customHeight="1" thickBot="1">
      <c r="A58" s="51" t="n"/>
      <c r="B58" s="54" t="n"/>
      <c r="C58" s="10" t="inlineStr">
        <is>
          <t xml:space="preserve">         Pre-Cals. Checked By.</t>
        </is>
      </c>
      <c r="D58" s="379" t="n"/>
      <c r="E58" s="547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123" t="n"/>
    </row>
    <row r="59" ht="13" customHeight="1" thickBot="1">
      <c r="A59" s="68" t="n"/>
      <c r="B59" s="18" t="n"/>
      <c r="C59" s="54" t="n"/>
      <c r="D59" s="54" t="n"/>
      <c r="E59" s="104" t="n"/>
      <c r="F59" s="18" t="inlineStr">
        <is>
          <t>DEVT No.</t>
        </is>
      </c>
      <c r="G59" s="392" t="inlineStr">
        <is>
          <t>Make / Model</t>
        </is>
      </c>
      <c r="H59" s="461" t="n"/>
      <c r="I59" s="461" t="n"/>
      <c r="J59" s="395" t="inlineStr">
        <is>
          <t>Calibration Due</t>
        </is>
      </c>
      <c r="K59" s="509" t="n"/>
      <c r="L59" s="509" t="n"/>
      <c r="M59" s="104" t="n"/>
      <c r="N59" s="548" t="inlineStr">
        <is>
          <t xml:space="preserve">Set Points are </t>
        </is>
      </c>
      <c r="O59" s="119" t="inlineStr">
        <is>
          <t>200 and 800 °C</t>
        </is>
      </c>
      <c r="P59" s="120" t="n"/>
      <c r="Q59" s="551" t="n"/>
      <c r="R59" s="49" t="n"/>
    </row>
    <row r="60" ht="13" customHeight="1" thickBot="1">
      <c r="A60" s="68" t="n"/>
      <c r="B60" s="18" t="n"/>
      <c r="C60" s="54" t="n"/>
      <c r="D60" s="54" t="n"/>
      <c r="E60" s="104" t="inlineStr">
        <is>
          <t xml:space="preserve">Temperature Simulator Used. </t>
        </is>
      </c>
      <c r="F60" s="379" t="n">
        <v>105</v>
      </c>
      <c r="G60" s="386" t="inlineStr">
        <is>
          <t>Druck DPI620</t>
        </is>
      </c>
      <c r="H60" s="471" t="n"/>
      <c r="I60" s="547" t="n"/>
      <c r="J60" s="549" t="n">
        <v>44891</v>
      </c>
      <c r="K60" s="471" t="n"/>
      <c r="L60" s="547" t="n"/>
      <c r="M60" s="104" t="n"/>
      <c r="N60" s="10" t="n"/>
      <c r="O60" s="18" t="n"/>
      <c r="P60" s="10" t="n"/>
      <c r="Q60" s="10" t="n"/>
      <c r="R60" s="49" t="n"/>
    </row>
    <row r="61" ht="13" customHeight="1" thickBot="1">
      <c r="A61" s="122" t="n"/>
      <c r="B61" s="121" t="n"/>
      <c r="C61" s="121" t="n"/>
      <c r="D61" s="121" t="n"/>
      <c r="E61" s="121" t="n"/>
      <c r="F61" s="121" t="n"/>
      <c r="G61" s="121" t="n"/>
      <c r="H61" s="121" t="n"/>
      <c r="I61" s="121" t="n"/>
      <c r="J61" s="121" t="n"/>
      <c r="K61" s="121" t="n"/>
      <c r="L61" s="121" t="n"/>
      <c r="M61" s="121" t="n"/>
      <c r="N61" s="75" t="n"/>
      <c r="O61" s="75" t="n"/>
      <c r="P61" s="75" t="n"/>
      <c r="Q61" s="75" t="n"/>
      <c r="R61" s="58" t="n"/>
    </row>
    <row r="62" ht="13" customHeight="1" thickTop="1">
      <c r="A62" s="394" t="n"/>
      <c r="B62" s="394" t="n"/>
      <c r="C62" s="394" t="n"/>
      <c r="D62" s="394" t="n"/>
      <c r="E62" s="394" t="n"/>
      <c r="F62" s="394" t="n"/>
      <c r="G62" s="394" t="n"/>
      <c r="H62" s="394" t="n"/>
      <c r="I62" s="394" t="n"/>
      <c r="J62" s="394" t="n"/>
      <c r="K62" s="394" t="n"/>
      <c r="L62" s="394" t="n"/>
      <c r="M62" s="394" t="n"/>
      <c r="N62" s="394" t="n"/>
      <c r="O62" s="394" t="n"/>
      <c r="P62" s="394" t="n"/>
      <c r="Q62" s="394" t="n"/>
      <c r="R62" s="394" t="n"/>
    </row>
  </sheetData>
  <mergeCells count="24">
    <mergeCell ref="F4:G4"/>
    <mergeCell ref="P4:Q4"/>
    <mergeCell ref="J32:L32"/>
    <mergeCell ref="A2:R2"/>
    <mergeCell ref="J31:L31"/>
    <mergeCell ref="C41:C42"/>
    <mergeCell ref="D41:H41"/>
    <mergeCell ref="L8:P8"/>
    <mergeCell ref="A35:R35"/>
    <mergeCell ref="G32:I32"/>
    <mergeCell ref="C8:C9"/>
    <mergeCell ref="G60:I60"/>
    <mergeCell ref="K4:M4"/>
    <mergeCell ref="K37:M37"/>
    <mergeCell ref="G31:I31"/>
    <mergeCell ref="D58:E58"/>
    <mergeCell ref="L41:P41"/>
    <mergeCell ref="P37:Q37"/>
    <mergeCell ref="G59:I59"/>
    <mergeCell ref="F37:G37"/>
    <mergeCell ref="D8:H8"/>
    <mergeCell ref="D30:E30"/>
    <mergeCell ref="J59:L59"/>
    <mergeCell ref="J60:L60"/>
  </mergeCells>
  <conditionalFormatting sqref="L10:O29">
    <cfRule type="cellIs" priority="11" operator="notBetween" dxfId="1" stopIfTrue="1">
      <formula>L$9-5</formula>
      <formula>L$9+5</formula>
    </cfRule>
    <cfRule type="cellIs" priority="12" operator="notBetween" dxfId="0" stopIfTrue="1">
      <formula>L$9-4</formula>
      <formula>L$9+4</formula>
    </cfRule>
  </conditionalFormatting>
  <conditionalFormatting sqref="P10:P29">
    <cfRule type="cellIs" priority="9" operator="notBetween" dxfId="1" stopIfTrue="1">
      <formula>P$9-5</formula>
      <formula>P$9+5</formula>
    </cfRule>
    <cfRule type="cellIs" priority="10" operator="notBetween" dxfId="0" stopIfTrue="1">
      <formula>P$9-4</formula>
      <formula>P$9+4</formula>
    </cfRule>
  </conditionalFormatting>
  <conditionalFormatting sqref="D10:H29">
    <cfRule type="cellIs" priority="15" operator="notBetween" dxfId="1" stopIfTrue="1">
      <formula>D$9-5</formula>
      <formula>D$9+5</formula>
    </cfRule>
    <cfRule type="cellIs" priority="16" operator="notBetween" dxfId="0" stopIfTrue="1">
      <formula>D$9-4</formula>
      <formula>D$9+4</formula>
    </cfRule>
  </conditionalFormatting>
  <conditionalFormatting sqref="I10:I29">
    <cfRule type="containsText" priority="13" operator="containsText" dxfId="46" stopIfTrue="1" text="P">
      <formula>NOT(ISERROR(SEARCH("P",I10)))</formula>
    </cfRule>
    <cfRule type="containsText" priority="14" operator="containsText" dxfId="45" stopIfTrue="1" text="F">
      <formula>NOT(ISERROR(SEARCH("F",I10)))</formula>
    </cfRule>
  </conditionalFormatting>
  <conditionalFormatting sqref="D43:H57">
    <cfRule type="cellIs" priority="7" operator="notBetween" dxfId="1" stopIfTrue="1">
      <formula>D$9-5</formula>
      <formula>D$9+5</formula>
    </cfRule>
    <cfRule type="cellIs" priority="8" operator="notBetween" dxfId="0" stopIfTrue="1">
      <formula>D$9-4</formula>
      <formula>D$9+4</formula>
    </cfRule>
  </conditionalFormatting>
  <conditionalFormatting sqref="I43:I57">
    <cfRule type="containsText" priority="5" operator="containsText" dxfId="46" stopIfTrue="1" text="P">
      <formula>NOT(ISERROR(SEARCH("P",I43)))</formula>
    </cfRule>
    <cfRule type="containsText" priority="6" operator="containsText" dxfId="45" stopIfTrue="1" text="F">
      <formula>NOT(ISERROR(SEARCH("F",I43)))</formula>
    </cfRule>
  </conditionalFormatting>
  <conditionalFormatting sqref="L43:O57">
    <cfRule type="cellIs" priority="3" operator="notBetween" dxfId="1" stopIfTrue="1">
      <formula>L$9-5</formula>
      <formula>L$9+5</formula>
    </cfRule>
    <cfRule type="cellIs" priority="4" operator="notBetween" dxfId="0" stopIfTrue="1">
      <formula>L$9-4</formula>
      <formula>L$9+4</formula>
    </cfRule>
  </conditionalFormatting>
  <conditionalFormatting sqref="P43:P57">
    <cfRule type="cellIs" priority="1" operator="notBetween" dxfId="1" stopIfTrue="1">
      <formula>P$9-5</formula>
      <formula>P$9+5</formula>
    </cfRule>
    <cfRule type="cellIs" priority="2" operator="notBetween" dxfId="0" stopIfTrue="1">
      <formula>P$9-4</formula>
      <formula>P$9+4</formula>
    </cfRule>
  </conditionalFormatting>
  <dataValidations count="2">
    <dataValidation sqref="P4 P37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I10:I29" showDropDown="0" showInputMessage="1" showErrorMessage="1" allowBlank="0" type="list">
      <formula1>"Pass,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89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33" min="0" max="16383" man="1"/>
  </rowBreaks>
</worksheet>
</file>

<file path=xl/worksheets/sheet8.xml><?xml version="1.0" encoding="utf-8"?>
<worksheet xmlns="http://schemas.openxmlformats.org/spreadsheetml/2006/main">
  <sheetPr>
    <tabColor rgb="FFE0E0E0"/>
    <outlinePr summaryBelow="1" summaryRight="1"/>
    <pageSetUpPr fitToPage="1"/>
  </sheetPr>
  <dimension ref="A1:J23"/>
  <sheetViews>
    <sheetView topLeftCell="A43" workbookViewId="0">
      <selection activeCell="N22" sqref="N22"/>
    </sheetView>
  </sheetViews>
  <sheetFormatPr baseColWidth="8" defaultRowHeight="12.5"/>
  <cols>
    <col width="16.54296875" bestFit="1" customWidth="1" min="2" max="2"/>
    <col width="12.453125" bestFit="1" customWidth="1" min="3" max="3"/>
    <col width="15.26953125" bestFit="1" customWidth="1" min="4" max="4"/>
    <col width="9.81640625" customWidth="1" min="5" max="5"/>
    <col width="10.81640625" bestFit="1" customWidth="1" min="6" max="6"/>
    <col width="12.453125" bestFit="1" customWidth="1" min="7" max="7"/>
    <col width="11.54296875" bestFit="1" customWidth="1" min="8" max="8"/>
    <col width="11" customWidth="1" min="9" max="9"/>
  </cols>
  <sheetData>
    <row r="1" ht="13" customHeight="1" thickTop="1">
      <c r="A1" s="201" t="n"/>
      <c r="B1" s="36" t="n"/>
      <c r="C1" s="36" t="n"/>
      <c r="D1" s="36" t="n"/>
      <c r="E1" s="36" t="n"/>
      <c r="F1" s="36" t="n"/>
      <c r="G1" s="36" t="n"/>
      <c r="H1" s="36" t="n"/>
      <c r="I1" s="36" t="n"/>
      <c r="J1" s="37" t="n"/>
    </row>
    <row r="2" ht="25" customHeight="1">
      <c r="A2" s="202" t="n"/>
      <c r="B2" s="403" t="inlineStr">
        <is>
          <t>Test Bed Speed Measurement Calibration</t>
        </is>
      </c>
      <c r="C2" s="461" t="n"/>
      <c r="D2" s="461" t="n"/>
      <c r="E2" s="461" t="n"/>
      <c r="F2" s="461" t="n"/>
      <c r="G2" s="461" t="n"/>
      <c r="H2" s="461" t="n"/>
      <c r="I2" s="461" t="n"/>
      <c r="J2" s="495" t="n"/>
    </row>
    <row r="3" ht="13.5" customHeight="1" thickBot="1">
      <c r="A3" s="202" t="n"/>
      <c r="B3" s="7" t="n"/>
      <c r="C3" s="7" t="n"/>
      <c r="D3" s="7" t="n"/>
      <c r="E3" s="21" t="n"/>
      <c r="F3" s="21" t="n"/>
      <c r="G3" s="21" t="n"/>
      <c r="H3" s="7" t="n"/>
      <c r="I3" s="7" t="n"/>
      <c r="J3" s="55" t="n"/>
    </row>
    <row r="4" ht="13" customHeight="1" thickBot="1">
      <c r="A4" s="202" t="n"/>
      <c r="B4" s="7" t="n"/>
      <c r="C4" s="10" t="inlineStr">
        <is>
          <t xml:space="preserve">Job No. </t>
        </is>
      </c>
      <c r="D4" s="194">
        <f>Title!C4</f>
        <v/>
      </c>
      <c r="F4" s="10" t="inlineStr">
        <is>
          <t xml:space="preserve">Cal By. </t>
        </is>
      </c>
      <c r="G4" s="16">
        <f>Title!C3</f>
        <v/>
      </c>
      <c r="H4" s="196" t="n"/>
      <c r="J4" s="49" t="n"/>
    </row>
    <row r="5" ht="13" customHeight="1" thickBot="1">
      <c r="A5" s="202" t="n"/>
      <c r="B5" s="7" t="n"/>
      <c r="C5" s="7" t="n"/>
      <c r="D5" s="7" t="n"/>
      <c r="E5" s="8" t="n"/>
      <c r="F5" s="7" t="n"/>
      <c r="G5" s="7" t="n"/>
      <c r="H5" s="10" t="n"/>
      <c r="I5" s="7" t="n"/>
      <c r="J5" s="66" t="n"/>
    </row>
    <row r="6" ht="16" customHeight="1" thickBot="1">
      <c r="A6" s="202" t="n"/>
      <c r="B6" s="7" t="n"/>
      <c r="C6" s="10" t="inlineStr">
        <is>
          <t xml:space="preserve">Calibration Date. </t>
        </is>
      </c>
      <c r="D6" s="552">
        <f>Title!C9</f>
        <v/>
      </c>
      <c r="F6" s="10" t="inlineStr">
        <is>
          <t xml:space="preserve">Bed No. </t>
        </is>
      </c>
      <c r="G6" s="474">
        <f>Title!F3</f>
        <v/>
      </c>
      <c r="H6" s="471" t="n"/>
      <c r="I6" s="472" t="n"/>
      <c r="J6" s="67" t="n"/>
    </row>
    <row r="7">
      <c r="A7" s="202" t="n"/>
      <c r="B7" s="7" t="n"/>
      <c r="C7" s="8" t="n"/>
      <c r="D7" s="8" t="n"/>
      <c r="E7" s="7" t="n"/>
      <c r="F7" s="8" t="n"/>
      <c r="G7" s="8" t="n"/>
      <c r="H7" s="8" t="n"/>
      <c r="I7" s="7" t="n"/>
      <c r="J7" s="49" t="n"/>
    </row>
    <row r="8" ht="13" customHeight="1">
      <c r="A8" s="202" t="n"/>
      <c r="B8" s="200" t="inlineStr">
        <is>
          <t>Acceptable Deviation +/- 2 rpm.</t>
        </is>
      </c>
      <c r="C8" s="21" t="n"/>
      <c r="D8" s="21" t="n"/>
      <c r="E8" s="21" t="n"/>
      <c r="F8" s="21" t="n"/>
      <c r="G8" s="21" t="n"/>
      <c r="H8" s="21" t="n"/>
      <c r="I8" s="21" t="n"/>
      <c r="J8" s="50" t="n"/>
    </row>
    <row r="9" ht="13" customHeight="1" thickBot="1">
      <c r="A9" s="202" t="n"/>
      <c r="B9" s="7" t="n"/>
      <c r="C9" s="383" t="n"/>
      <c r="D9" s="7" t="n"/>
      <c r="E9" s="7" t="n"/>
      <c r="F9" s="7" t="n"/>
      <c r="G9" s="7" t="n"/>
      <c r="H9" s="7" t="n"/>
      <c r="I9" s="7" t="n"/>
      <c r="J9" s="55" t="n"/>
    </row>
    <row r="10" ht="13.5" customHeight="1" thickBot="1">
      <c r="A10" s="202" t="n"/>
      <c r="B10" s="204" t="inlineStr">
        <is>
          <t>No. of Teeth</t>
        </is>
      </c>
      <c r="C10" s="165" t="n">
        <v>190</v>
      </c>
      <c r="D10" s="553" t="inlineStr">
        <is>
          <t>Pre-Calibration</t>
        </is>
      </c>
      <c r="E10" s="554" t="n"/>
      <c r="F10" s="164" t="inlineStr">
        <is>
          <t>No. of Teeth</t>
        </is>
      </c>
      <c r="G10" s="165" t="n">
        <v>190</v>
      </c>
      <c r="H10" s="553" t="inlineStr">
        <is>
          <t>Post-Calibration</t>
        </is>
      </c>
      <c r="I10" s="554" t="n"/>
      <c r="J10" s="67" t="n"/>
    </row>
    <row r="11" ht="13" customHeight="1" thickBot="1">
      <c r="A11" s="202" t="n"/>
      <c r="B11" s="8" t="n"/>
      <c r="C11" s="555" t="inlineStr">
        <is>
          <t>Set Frequency Hz</t>
        </is>
      </c>
      <c r="D11" s="164" t="inlineStr">
        <is>
          <t>rpm</t>
        </is>
      </c>
      <c r="E11" s="556" t="inlineStr">
        <is>
          <t>Result</t>
        </is>
      </c>
      <c r="F11" s="8" t="n"/>
      <c r="G11" s="557" t="inlineStr">
        <is>
          <t>Set Frequency Hz</t>
        </is>
      </c>
      <c r="H11" s="169" t="inlineStr">
        <is>
          <t>rpm</t>
        </is>
      </c>
      <c r="I11" s="558" t="inlineStr">
        <is>
          <t>Result</t>
        </is>
      </c>
      <c r="J11" s="67" t="n"/>
    </row>
    <row r="12">
      <c r="A12" s="202" t="n"/>
      <c r="B12" s="8" t="n"/>
      <c r="C12" s="171">
        <f>(D12/60)*$C$10</f>
        <v/>
      </c>
      <c r="D12" s="208" t="n">
        <v>500</v>
      </c>
      <c r="E12" s="205" t="n">
        <v>500</v>
      </c>
      <c r="F12" s="8" t="n"/>
      <c r="G12" s="171">
        <f>(H12/60)*$G$10</f>
        <v/>
      </c>
      <c r="H12" s="208" t="n">
        <v>500</v>
      </c>
      <c r="I12" s="205" t="n"/>
      <c r="J12" s="67" t="n"/>
    </row>
    <row r="13">
      <c r="A13" s="202" t="n"/>
      <c r="B13" s="8" t="n"/>
      <c r="C13" s="172">
        <f>(D13/60)*$C$10</f>
        <v/>
      </c>
      <c r="D13" s="209" t="n">
        <v>1000</v>
      </c>
      <c r="E13" s="206" t="n">
        <v>1000</v>
      </c>
      <c r="F13" s="8" t="n"/>
      <c r="G13" s="173">
        <f>(H13/60)*$G$10</f>
        <v/>
      </c>
      <c r="H13" s="209" t="n">
        <v>1000</v>
      </c>
      <c r="I13" s="206" t="n"/>
      <c r="J13" s="67" t="n"/>
    </row>
    <row r="14">
      <c r="A14" s="202" t="n"/>
      <c r="B14" s="8" t="n"/>
      <c r="C14" s="172">
        <f>(D14/60)*$C$10</f>
        <v/>
      </c>
      <c r="D14" s="209" t="n">
        <v>1500</v>
      </c>
      <c r="E14" s="206" t="n">
        <v>1500</v>
      </c>
      <c r="F14" s="8" t="n"/>
      <c r="G14" s="173">
        <f>(H14/60)*$G$10</f>
        <v/>
      </c>
      <c r="H14" s="209" t="n">
        <v>1500</v>
      </c>
      <c r="I14" s="206" t="n"/>
      <c r="J14" s="67" t="n"/>
    </row>
    <row r="15">
      <c r="A15" s="202" t="n"/>
      <c r="B15" s="8" t="n"/>
      <c r="C15" s="172">
        <f>(D15/60)*$C$10</f>
        <v/>
      </c>
      <c r="D15" s="209" t="n">
        <v>2000</v>
      </c>
      <c r="E15" s="206" t="n">
        <v>2000</v>
      </c>
      <c r="F15" s="8" t="n"/>
      <c r="G15" s="173">
        <f>(H15/60)*$G$10</f>
        <v/>
      </c>
      <c r="H15" s="209" t="n">
        <v>2000</v>
      </c>
      <c r="I15" s="206" t="n"/>
      <c r="J15" s="67" t="n"/>
    </row>
    <row r="16">
      <c r="A16" s="202" t="n"/>
      <c r="B16" s="8" t="n"/>
      <c r="C16" s="172">
        <f>(D16/60)*$C$10</f>
        <v/>
      </c>
      <c r="D16" s="209" t="n">
        <v>2500</v>
      </c>
      <c r="E16" s="206" t="n">
        <v>2500</v>
      </c>
      <c r="F16" s="8" t="n"/>
      <c r="G16" s="173">
        <f>(H16/60)*$G$10</f>
        <v/>
      </c>
      <c r="H16" s="209" t="n">
        <v>2500</v>
      </c>
      <c r="I16" s="206" t="n"/>
      <c r="J16" s="67" t="n"/>
    </row>
    <row r="17" ht="13" customHeight="1" thickBot="1">
      <c r="A17" s="202" t="n"/>
      <c r="B17" s="8" t="n"/>
      <c r="C17" s="174">
        <f>(D17/60)*$C$10</f>
        <v/>
      </c>
      <c r="D17" s="210" t="n">
        <v>3000</v>
      </c>
      <c r="E17" s="207" t="n">
        <v>3000</v>
      </c>
      <c r="F17" s="8" t="n"/>
      <c r="G17" s="175">
        <f>(H17/60)*$G$10</f>
        <v/>
      </c>
      <c r="H17" s="210" t="n">
        <v>3000</v>
      </c>
      <c r="I17" s="207" t="n"/>
      <c r="J17" s="67" t="n"/>
    </row>
    <row r="18">
      <c r="A18" s="202" t="n"/>
      <c r="B18" s="8" t="n"/>
      <c r="C18" s="383" t="n"/>
      <c r="D18" s="551" t="inlineStr">
        <is>
          <t>Pass/Fail</t>
        </is>
      </c>
      <c r="E18" s="69" t="inlineStr">
        <is>
          <t>Pass</t>
        </is>
      </c>
      <c r="F18" s="18" t="n"/>
      <c r="G18" s="18" t="n"/>
      <c r="H18" s="551" t="inlineStr">
        <is>
          <t>Pass/Fail</t>
        </is>
      </c>
      <c r="I18" s="69" t="n"/>
      <c r="J18" s="49" t="n"/>
    </row>
    <row r="19" ht="13" customHeight="1" thickBot="1">
      <c r="A19" s="202" t="n"/>
      <c r="B19" s="8" t="n"/>
      <c r="C19" s="8" t="n"/>
      <c r="D19" s="551" t="inlineStr">
        <is>
          <t>Checked By.</t>
        </is>
      </c>
      <c r="E19" s="17" t="inlineStr">
        <is>
          <t>CD</t>
        </is>
      </c>
      <c r="F19" s="8" t="n"/>
      <c r="G19" s="56" t="n"/>
      <c r="H19" s="551" t="inlineStr">
        <is>
          <t>Checked By.</t>
        </is>
      </c>
      <c r="I19" s="17" t="inlineStr">
        <is>
          <t>CD</t>
        </is>
      </c>
      <c r="J19" s="49" t="n"/>
    </row>
    <row r="20">
      <c r="A20" s="202" t="n"/>
      <c r="B20" s="149" t="inlineStr">
        <is>
          <t xml:space="preserve">  Equipment Used. </t>
        </is>
      </c>
      <c r="C20" s="8" t="n"/>
      <c r="D20" s="8" t="n"/>
      <c r="E20" s="8" t="n"/>
      <c r="F20" s="8" t="n"/>
      <c r="G20" s="381" t="n"/>
      <c r="H20" s="461" t="n"/>
      <c r="I20" s="8" t="n"/>
      <c r="J20" s="49" t="n"/>
    </row>
    <row r="21" ht="13" customHeight="1" thickBot="1">
      <c r="A21" s="202" t="n"/>
      <c r="B21" s="18" t="inlineStr">
        <is>
          <t>Signal</t>
        </is>
      </c>
      <c r="C21" s="18" t="inlineStr">
        <is>
          <t>INS No.</t>
        </is>
      </c>
      <c r="D21" s="381" t="inlineStr">
        <is>
          <t>Make / Model</t>
        </is>
      </c>
      <c r="E21" s="461" t="n"/>
      <c r="F21" s="381" t="inlineStr">
        <is>
          <t>Serial No.</t>
        </is>
      </c>
      <c r="G21" s="461" t="n"/>
      <c r="H21" s="7" t="inlineStr">
        <is>
          <t>Calibration Due</t>
        </is>
      </c>
      <c r="I21" s="7" t="n"/>
      <c r="J21" s="49" t="n"/>
    </row>
    <row r="22" ht="13" customHeight="1" thickBot="1">
      <c r="A22" s="202" t="n"/>
      <c r="B22" s="18" t="inlineStr">
        <is>
          <t>Generator</t>
        </is>
      </c>
      <c r="C22" s="16" t="inlineStr">
        <is>
          <t>DEVT 547</t>
        </is>
      </c>
      <c r="D22" s="397" t="inlineStr">
        <is>
          <t>Tti 20MHz DDS Function Gen</t>
        </is>
      </c>
      <c r="E22" s="547" t="n"/>
      <c r="F22" s="398" t="n">
        <v>280681</v>
      </c>
      <c r="G22" s="547" t="n"/>
      <c r="H22" s="559" t="n"/>
      <c r="I22" s="547" t="n"/>
      <c r="J22" s="49" t="n"/>
    </row>
    <row r="23" ht="13" customHeight="1" thickBot="1">
      <c r="A23" s="203" t="n"/>
      <c r="B23" s="176" t="n"/>
      <c r="C23" s="176" t="n"/>
      <c r="D23" s="176" t="n"/>
      <c r="E23" s="176" t="n"/>
      <c r="F23" s="176" t="n"/>
      <c r="G23" s="176" t="n"/>
      <c r="H23" s="176" t="n"/>
      <c r="I23" s="176" t="n"/>
      <c r="J23" s="58" t="n"/>
    </row>
    <row r="24" ht="13" customHeight="1" thickTop="1"/>
  </sheetData>
  <mergeCells count="10">
    <mergeCell ref="F21:G21"/>
    <mergeCell ref="G20:H20"/>
    <mergeCell ref="D10:E10"/>
    <mergeCell ref="G6:I6"/>
    <mergeCell ref="H10:I10"/>
    <mergeCell ref="F22:G22"/>
    <mergeCell ref="D22:E22"/>
    <mergeCell ref="H22:I22"/>
    <mergeCell ref="B2:J2"/>
    <mergeCell ref="D21:E21"/>
  </mergeCells>
  <conditionalFormatting sqref="E12 I12">
    <cfRule type="cellIs" priority="3" operator="notBetween" dxfId="1" stopIfTrue="1">
      <formula>498</formula>
      <formula>502</formula>
    </cfRule>
  </conditionalFormatting>
  <conditionalFormatting sqref="E13 I13">
    <cfRule type="cellIs" priority="4" operator="notBetween" dxfId="1" stopIfTrue="1">
      <formula>998</formula>
      <formula>1002</formula>
    </cfRule>
  </conditionalFormatting>
  <conditionalFormatting sqref="E14 I14">
    <cfRule type="cellIs" priority="5" operator="notBetween" dxfId="1" stopIfTrue="1">
      <formula>1498</formula>
      <formula>1502</formula>
    </cfRule>
  </conditionalFormatting>
  <conditionalFormatting sqref="E15 I15">
    <cfRule type="cellIs" priority="6" operator="notBetween" dxfId="1" stopIfTrue="1">
      <formula>1998</formula>
      <formula>2002</formula>
    </cfRule>
  </conditionalFormatting>
  <conditionalFormatting sqref="E16 I16">
    <cfRule type="cellIs" priority="7" operator="notBetween" dxfId="1" stopIfTrue="1">
      <formula>2498</formula>
      <formula>2502</formula>
    </cfRule>
  </conditionalFormatting>
  <conditionalFormatting sqref="E17 I17">
    <cfRule type="cellIs" priority="8" operator="notBetween" dxfId="1" stopIfTrue="1">
      <formula>2998</formula>
      <formula>3002</formula>
    </cfRule>
  </conditionalFormatting>
  <conditionalFormatting sqref="C12:C17">
    <cfRule type="cellIs" priority="2" operator="notBetween" dxfId="1" stopIfTrue="1">
      <formula>498</formula>
      <formula>502</formula>
    </cfRule>
  </conditionalFormatting>
  <conditionalFormatting sqref="G12:G17">
    <cfRule type="cellIs" priority="1" operator="notBetween" dxfId="1" stopIfTrue="1">
      <formula>498</formula>
      <formula>502</formula>
    </cfRule>
  </conditionalFormatting>
  <dataValidations count="2">
    <dataValidation sqref="G6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E18" showDropDown="0" showInputMessage="1" showErrorMessage="1" allowBlank="0" type="list">
      <formula1>"Pass,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fitToHeight="0"/>
  <headerFooter alignWithMargins="0">
    <oddHeader>&amp;L&amp;G</oddHeader>
    <oddFooter>&amp;CTest Bed Calibratioin Results page 6 of 9&amp;R&amp;"Calibri"&amp;11&amp;K000000&amp;F_x000d_&amp;1#&amp;"Calibri"&amp;10 &amp;K737373Caterpillar: Confidential Green_x000a_&amp;D&amp;LCaterpillar: Confidential Green</oddFooter>
    <evenHeader/>
    <evenFooter/>
    <firstHeader/>
    <firstFooter/>
  </headerFooter>
</worksheet>
</file>

<file path=xl/worksheets/sheet9.xml><?xml version="1.0" encoding="utf-8"?>
<worksheet xmlns:r="http://schemas.openxmlformats.org/officeDocument/2006/relationships" xmlns="http://schemas.openxmlformats.org/spreadsheetml/2006/main">
  <sheetPr codeName="Sheet15">
    <tabColor rgb="FFE0E0E0"/>
    <outlinePr summaryBelow="1" summaryRight="1"/>
    <pageSetUpPr fitToPage="1"/>
  </sheetPr>
  <dimension ref="A1:V91"/>
  <sheetViews>
    <sheetView zoomScale="95" zoomScaleNormal="95" workbookViewId="0">
      <selection activeCell="Z18" sqref="Z18"/>
    </sheetView>
  </sheetViews>
  <sheetFormatPr baseColWidth="8" defaultColWidth="9.1796875" defaultRowHeight="12.5"/>
  <cols>
    <col width="3.7265625" customWidth="1" style="394" min="1" max="1"/>
    <col width="12.54296875" customWidth="1" style="394" min="2" max="2"/>
    <col width="13.26953125" bestFit="1" customWidth="1" style="394" min="3" max="3"/>
    <col width="11.7265625" customWidth="1" style="394" min="4" max="5"/>
    <col width="6.26953125" bestFit="1" customWidth="1" style="394" min="6" max="6"/>
    <col width="8.7265625" customWidth="1" style="394" min="7" max="13"/>
    <col width="6.26953125" bestFit="1" customWidth="1" style="394" min="14" max="14"/>
    <col width="8.7265625" customWidth="1" style="394" min="15" max="20"/>
    <col width="9.81640625" bestFit="1" customWidth="1" style="394" min="21" max="21"/>
    <col width="3.7265625" customWidth="1" style="394" min="22" max="22"/>
    <col width="9.1796875" customWidth="1" style="394" min="23" max="16384"/>
  </cols>
  <sheetData>
    <row r="1" ht="19" customFormat="1" customHeight="1" s="9">
      <c r="A1" s="152" t="n"/>
      <c r="B1" s="145" t="n"/>
      <c r="C1" s="145" t="n"/>
      <c r="D1" s="145" t="n"/>
      <c r="E1" s="145" t="n"/>
      <c r="F1" s="145" t="n"/>
      <c r="G1" s="145" t="n"/>
      <c r="H1" s="145" t="n"/>
      <c r="I1" s="145" t="n"/>
      <c r="J1" s="145" t="n"/>
      <c r="K1" s="146" t="n"/>
      <c r="L1" s="146" t="n"/>
      <c r="M1" s="146" t="n"/>
      <c r="N1" s="146" t="n"/>
      <c r="O1" s="146" t="n"/>
      <c r="P1" s="146" t="n"/>
      <c r="Q1" s="146" t="n"/>
      <c r="R1" s="146" t="n"/>
      <c r="S1" s="146" t="n"/>
      <c r="T1" s="146" t="n"/>
      <c r="U1" s="146" t="n"/>
      <c r="V1" s="153" t="n"/>
    </row>
    <row r="2" ht="25" customFormat="1" customHeight="1" s="30">
      <c r="A2" s="560" t="inlineStr">
        <is>
          <t>Test Bed Analogue Input Channel Calibration</t>
        </is>
      </c>
      <c r="B2" s="461" t="n"/>
      <c r="C2" s="461" t="n"/>
      <c r="D2" s="461" t="n"/>
      <c r="E2" s="461" t="n"/>
      <c r="F2" s="461" t="n"/>
      <c r="G2" s="461" t="n"/>
      <c r="H2" s="461" t="n"/>
      <c r="I2" s="461" t="n"/>
      <c r="J2" s="461" t="n"/>
      <c r="K2" s="461" t="n"/>
      <c r="L2" s="461" t="n"/>
      <c r="M2" s="461" t="n"/>
      <c r="N2" s="461" t="n"/>
      <c r="O2" s="461" t="n"/>
      <c r="P2" s="461" t="n"/>
      <c r="Q2" s="461" t="n"/>
      <c r="R2" s="461" t="n"/>
      <c r="S2" s="461" t="n"/>
      <c r="T2" s="461" t="n"/>
      <c r="U2" s="461" t="n"/>
      <c r="V2" s="561" t="n"/>
    </row>
    <row r="3" ht="15.75" customFormat="1" customHeight="1" s="31" thickBot="1">
      <c r="A3" s="154" t="n"/>
      <c r="B3" s="7" t="n"/>
      <c r="C3" s="21" t="n"/>
      <c r="D3" s="21" t="n"/>
      <c r="E3" s="21" t="n"/>
      <c r="F3" s="21" t="n"/>
      <c r="G3" s="21" t="n"/>
      <c r="H3" s="7" t="n"/>
      <c r="I3" s="7" t="n"/>
      <c r="J3" s="147" t="n"/>
      <c r="K3" s="7" t="n"/>
      <c r="L3" s="7" t="n"/>
      <c r="M3" s="7" t="n"/>
      <c r="N3" s="7" t="n"/>
      <c r="O3" s="7" t="n"/>
      <c r="P3" s="7" t="n"/>
      <c r="Q3" s="7" t="n"/>
      <c r="R3" s="7" t="n"/>
      <c r="S3" s="7" t="n"/>
      <c r="T3" s="7" t="n"/>
      <c r="U3" s="7" t="n"/>
      <c r="V3" s="155" t="n"/>
    </row>
    <row r="4" ht="15" customFormat="1" customHeight="1" s="383" thickBot="1">
      <c r="A4" s="154" t="n"/>
      <c r="B4" s="10" t="inlineStr">
        <is>
          <t xml:space="preserve">Job No. </t>
        </is>
      </c>
      <c r="C4" s="194">
        <f>Title!$C$4</f>
        <v/>
      </c>
      <c r="D4" s="192" t="n"/>
      <c r="E4" s="10" t="inlineStr">
        <is>
          <t xml:space="preserve">Calibrated By. </t>
        </is>
      </c>
      <c r="F4" s="490">
        <f>Title!$C$3</f>
        <v/>
      </c>
      <c r="G4" s="471" t="n"/>
      <c r="H4" s="472" t="n"/>
      <c r="I4" s="197" t="n"/>
      <c r="J4" s="197" t="n"/>
      <c r="K4" s="10" t="inlineStr">
        <is>
          <t xml:space="preserve">Calibration Date. </t>
        </is>
      </c>
      <c r="L4" s="531">
        <f>Title!$C$9</f>
        <v/>
      </c>
      <c r="M4" s="472" t="n"/>
      <c r="O4" s="562" t="n"/>
      <c r="P4" s="10" t="inlineStr">
        <is>
          <t xml:space="preserve">Bed No. </t>
        </is>
      </c>
      <c r="Q4" s="474">
        <f>Title!$F$3</f>
        <v/>
      </c>
      <c r="R4" s="471" t="n"/>
      <c r="S4" s="471" t="n"/>
      <c r="T4" s="472" t="n"/>
      <c r="U4" s="199" t="n"/>
      <c r="V4" s="156" t="n"/>
    </row>
    <row r="5" ht="13" customFormat="1" customHeight="1" s="383">
      <c r="A5" s="154" t="n"/>
      <c r="B5" s="7" t="n"/>
      <c r="C5" s="21" t="n"/>
      <c r="D5" s="21" t="n"/>
      <c r="E5" s="21" t="n"/>
      <c r="F5" s="10" t="n"/>
      <c r="G5" s="21" t="n"/>
      <c r="I5" s="197" t="n"/>
      <c r="J5" s="197" t="n"/>
      <c r="K5" s="8" t="n"/>
      <c r="L5" s="8" t="n"/>
      <c r="M5" s="8" t="n"/>
      <c r="N5" s="8" t="n"/>
      <c r="O5" s="7" t="n"/>
      <c r="P5" s="8" t="n"/>
      <c r="Q5" s="8" t="n"/>
      <c r="R5" s="8" t="n"/>
      <c r="S5" s="8" t="n"/>
      <c r="T5" s="8" t="n"/>
      <c r="U5" s="8" t="n"/>
      <c r="V5" s="157" t="n"/>
    </row>
    <row r="6" ht="15" customFormat="1" customHeight="1" s="383">
      <c r="A6" s="158" t="inlineStr">
        <is>
          <t>Acceptable Deviation: 0.2% Full Scale.  Adjust if error &gt;80% accepted tolerance.</t>
        </is>
      </c>
      <c r="B6" s="21" t="n"/>
      <c r="C6" s="21" t="n"/>
      <c r="D6" s="21" t="n"/>
      <c r="E6" s="21" t="n"/>
      <c r="F6" s="21" t="n"/>
      <c r="G6" s="148" t="n"/>
      <c r="H6" s="148" t="n"/>
      <c r="I6" s="148" t="n"/>
      <c r="J6" s="148" t="n"/>
      <c r="K6" s="21" t="n"/>
      <c r="L6" s="21" t="n"/>
      <c r="M6" s="21" t="n"/>
      <c r="N6" s="21" t="n"/>
      <c r="O6" s="21" t="n"/>
      <c r="P6" s="21" t="n"/>
      <c r="Q6" s="21" t="n"/>
      <c r="R6" s="21" t="n"/>
      <c r="S6" s="21" t="n"/>
      <c r="T6" s="21" t="n"/>
      <c r="U6" s="21" t="n"/>
      <c r="V6" s="159" t="n"/>
    </row>
    <row r="7" ht="15" customFormat="1" customHeight="1" s="22" thickBot="1">
      <c r="A7" s="154" t="n"/>
      <c r="B7" s="147" t="n"/>
      <c r="C7" s="147" t="n"/>
      <c r="D7" s="147" t="n"/>
      <c r="E7" s="147" t="n"/>
      <c r="F7" s="147" t="n"/>
      <c r="G7" s="147" t="n"/>
      <c r="H7" s="147" t="n"/>
      <c r="I7" s="147" t="n"/>
      <c r="J7" s="147" t="n"/>
      <c r="K7" s="147" t="n"/>
      <c r="L7" s="147" t="n"/>
      <c r="M7" s="8" t="n"/>
      <c r="N7" s="8" t="n"/>
      <c r="O7" s="8" t="n"/>
      <c r="P7" s="8" t="n"/>
      <c r="Q7" s="8" t="n"/>
      <c r="R7" s="8" t="n"/>
      <c r="S7" s="8" t="n"/>
      <c r="T7" s="8" t="n"/>
      <c r="U7" s="8" t="n"/>
      <c r="V7" s="157" t="n"/>
    </row>
    <row r="8" ht="15" customFormat="1" customHeight="1" s="383">
      <c r="A8" s="154" t="n"/>
      <c r="B8" s="563" t="inlineStr">
        <is>
          <t>Channel No.</t>
        </is>
      </c>
      <c r="C8" s="563" t="inlineStr">
        <is>
          <t>Channel Name</t>
        </is>
      </c>
      <c r="D8" s="564" t="inlineStr">
        <is>
          <t>Lower Range</t>
        </is>
      </c>
      <c r="E8" s="565" t="inlineStr">
        <is>
          <t>Upper Range</t>
        </is>
      </c>
      <c r="F8" s="566" t="inlineStr">
        <is>
          <t>Pre-Calibration Set Points</t>
        </is>
      </c>
      <c r="G8" s="567" t="n"/>
      <c r="H8" s="567" t="n"/>
      <c r="I8" s="567" t="n"/>
      <c r="J8" s="567" t="n"/>
      <c r="K8" s="554" t="n"/>
      <c r="L8" s="451" t="inlineStr">
        <is>
          <t>Result</t>
        </is>
      </c>
      <c r="M8" s="568" t="inlineStr">
        <is>
          <t>Used</t>
        </is>
      </c>
      <c r="N8" s="566" t="inlineStr">
        <is>
          <t>Post-Calibration Set Points</t>
        </is>
      </c>
      <c r="O8" s="567" t="n"/>
      <c r="P8" s="567" t="n"/>
      <c r="Q8" s="567" t="n"/>
      <c r="R8" s="567" t="n"/>
      <c r="S8" s="554" t="n"/>
      <c r="T8" s="451" t="inlineStr">
        <is>
          <t>Units</t>
        </is>
      </c>
      <c r="U8" s="132" t="inlineStr">
        <is>
          <t>Accepted</t>
        </is>
      </c>
      <c r="V8" s="157" t="n"/>
    </row>
    <row r="9" ht="13.5" customFormat="1" customHeight="1" s="383" thickBot="1">
      <c r="A9" s="154" t="n"/>
      <c r="B9" s="507" t="n"/>
      <c r="C9" s="507" t="n"/>
      <c r="D9" s="505" t="n"/>
      <c r="E9" s="507" t="n"/>
      <c r="F9" s="569" t="n"/>
      <c r="G9" s="509" t="n"/>
      <c r="H9" s="509" t="n"/>
      <c r="I9" s="509" t="n"/>
      <c r="J9" s="509" t="n"/>
      <c r="K9" s="570" t="n"/>
      <c r="L9" s="133" t="inlineStr">
        <is>
          <t>F=Fail</t>
        </is>
      </c>
      <c r="M9" s="507" t="n"/>
      <c r="N9" s="569" t="n"/>
      <c r="O9" s="509" t="n"/>
      <c r="P9" s="509" t="n"/>
      <c r="Q9" s="509" t="n"/>
      <c r="R9" s="509" t="n"/>
      <c r="S9" s="570" t="n"/>
      <c r="T9" s="177" t="n"/>
      <c r="U9" s="134" t="inlineStr">
        <is>
          <t>Tolerance</t>
        </is>
      </c>
      <c r="V9" s="157" t="n"/>
    </row>
    <row r="10" ht="13" customFormat="1" customHeight="1" s="383" thickBot="1">
      <c r="A10" s="154" t="n"/>
      <c r="B10" s="411" t="inlineStr">
        <is>
          <t>801 AI Blowby</t>
        </is>
      </c>
      <c r="C10" s="564" t="n"/>
      <c r="D10" s="564" t="n">
        <v>0</v>
      </c>
      <c r="E10" s="571" t="n">
        <v>10</v>
      </c>
      <c r="F10" s="572">
        <f>0*E10</f>
        <v/>
      </c>
      <c r="G10" s="573">
        <f>0.2*E10</f>
        <v/>
      </c>
      <c r="H10" s="573">
        <f>0.4*E10</f>
        <v/>
      </c>
      <c r="I10" s="573">
        <f>0.6*E10</f>
        <v/>
      </c>
      <c r="J10" s="573">
        <f>0.8*E10</f>
        <v/>
      </c>
      <c r="K10" s="574">
        <f>1*E10</f>
        <v/>
      </c>
      <c r="L10" s="575" t="inlineStr">
        <is>
          <t>P</t>
        </is>
      </c>
      <c r="M10" s="576" t="n"/>
      <c r="N10" s="577">
        <f>F10</f>
        <v/>
      </c>
      <c r="O10" s="578">
        <f>G10</f>
        <v/>
      </c>
      <c r="P10" s="579">
        <f>H10</f>
        <v/>
      </c>
      <c r="Q10" s="579">
        <f>I10</f>
        <v/>
      </c>
      <c r="R10" s="578">
        <f>J10</f>
        <v/>
      </c>
      <c r="S10" s="580">
        <f>K10</f>
        <v/>
      </c>
      <c r="T10" s="581" t="inlineStr">
        <is>
          <t>V</t>
        </is>
      </c>
      <c r="U10" s="582">
        <f>0.002*(E10-D10)</f>
        <v/>
      </c>
      <c r="V10" s="157" t="n"/>
    </row>
    <row r="11" ht="13" customFormat="1" customHeight="1" s="383" thickBot="1">
      <c r="A11" s="154" t="n"/>
      <c r="B11" s="505" t="n"/>
      <c r="C11" s="505" t="n"/>
      <c r="D11" s="505" t="n"/>
      <c r="E11" s="506" t="n"/>
      <c r="F11" s="583" t="n">
        <v>0.001</v>
      </c>
      <c r="G11" s="584" t="n">
        <v>2.001</v>
      </c>
      <c r="H11" s="584" t="n">
        <v>4.004</v>
      </c>
      <c r="I11" s="584" t="n">
        <v>6.006</v>
      </c>
      <c r="J11" s="585" t="n">
        <v>8.009</v>
      </c>
      <c r="K11" s="586" t="n">
        <v>10</v>
      </c>
      <c r="L11" s="505" t="n"/>
      <c r="M11" s="505" t="n"/>
      <c r="N11" s="583" t="n"/>
      <c r="O11" s="585" t="n"/>
      <c r="P11" s="585" t="n"/>
      <c r="Q11" s="585" t="n"/>
      <c r="R11" s="585" t="n"/>
      <c r="S11" s="586" t="n"/>
      <c r="T11" s="505" t="n"/>
      <c r="U11" s="507" t="n"/>
      <c r="V11" s="157" t="n"/>
    </row>
    <row r="12" ht="13" customFormat="1" customHeight="1" s="383" thickBot="1">
      <c r="A12" s="154" t="n"/>
      <c r="B12" s="411" t="inlineStr">
        <is>
          <t>802 AI Vais RH</t>
        </is>
      </c>
      <c r="C12" s="564" t="n"/>
      <c r="D12" s="564" t="n">
        <v>0</v>
      </c>
      <c r="E12" s="571" t="n">
        <v>10</v>
      </c>
      <c r="F12" s="572">
        <f>0*E12</f>
        <v/>
      </c>
      <c r="G12" s="573">
        <f>0.2*E12</f>
        <v/>
      </c>
      <c r="H12" s="573">
        <f>0.4*E12</f>
        <v/>
      </c>
      <c r="I12" s="573">
        <f>0.6*E12</f>
        <v/>
      </c>
      <c r="J12" s="573">
        <f>0.8*E12</f>
        <v/>
      </c>
      <c r="K12" s="574">
        <f>1*E12</f>
        <v/>
      </c>
      <c r="L12" s="575" t="inlineStr">
        <is>
          <t>P</t>
        </is>
      </c>
      <c r="M12" s="576" t="n"/>
      <c r="N12" s="577">
        <f>F12</f>
        <v/>
      </c>
      <c r="O12" s="578">
        <f>G12</f>
        <v/>
      </c>
      <c r="P12" s="579">
        <f>H12</f>
        <v/>
      </c>
      <c r="Q12" s="579">
        <f>I12</f>
        <v/>
      </c>
      <c r="R12" s="578">
        <f>J12</f>
        <v/>
      </c>
      <c r="S12" s="580">
        <f>K12</f>
        <v/>
      </c>
      <c r="T12" s="581" t="inlineStr">
        <is>
          <t>V</t>
        </is>
      </c>
      <c r="U12" s="582">
        <f>0.002*(E12-D12)</f>
        <v/>
      </c>
      <c r="V12" s="157" t="n"/>
    </row>
    <row r="13" ht="13" customFormat="1" customHeight="1" s="383" thickBot="1">
      <c r="A13" s="154" t="n"/>
      <c r="B13" s="505" t="n"/>
      <c r="C13" s="505" t="n"/>
      <c r="D13" s="505" t="n"/>
      <c r="E13" s="506" t="n"/>
      <c r="F13" s="583" t="n">
        <v>0.001</v>
      </c>
      <c r="G13" s="584" t="n">
        <v>2.001</v>
      </c>
      <c r="H13" s="584" t="n">
        <v>4.003</v>
      </c>
      <c r="I13" s="584" t="n">
        <v>6.008</v>
      </c>
      <c r="J13" s="585" t="n">
        <v>8.009</v>
      </c>
      <c r="K13" s="586" t="n">
        <v>10</v>
      </c>
      <c r="L13" s="505" t="n"/>
      <c r="M13" s="505" t="n"/>
      <c r="N13" s="583" t="n"/>
      <c r="O13" s="585" t="n"/>
      <c r="P13" s="585" t="n"/>
      <c r="Q13" s="585" t="n"/>
      <c r="R13" s="585" t="n"/>
      <c r="S13" s="586" t="n"/>
      <c r="T13" s="505" t="n"/>
      <c r="U13" s="507" t="n"/>
      <c r="V13" s="157" t="n"/>
    </row>
    <row r="14" ht="13" customFormat="1" customHeight="1" s="383" thickBot="1">
      <c r="A14" s="154" t="n"/>
      <c r="B14" s="411" t="inlineStr">
        <is>
          <t>803 AI Vais Temp</t>
        </is>
      </c>
      <c r="C14" s="564" t="n"/>
      <c r="D14" s="564" t="n">
        <v>0</v>
      </c>
      <c r="E14" s="571" t="n">
        <v>10</v>
      </c>
      <c r="F14" s="572">
        <f>0*E14</f>
        <v/>
      </c>
      <c r="G14" s="573">
        <f>0.2*E14</f>
        <v/>
      </c>
      <c r="H14" s="573">
        <f>0.4*E14</f>
        <v/>
      </c>
      <c r="I14" s="573">
        <f>0.6*E14</f>
        <v/>
      </c>
      <c r="J14" s="573">
        <f>0.8*E14</f>
        <v/>
      </c>
      <c r="K14" s="574">
        <f>1*E14</f>
        <v/>
      </c>
      <c r="L14" s="575" t="inlineStr">
        <is>
          <t>P</t>
        </is>
      </c>
      <c r="M14" s="576" t="n"/>
      <c r="N14" s="577">
        <f>F14</f>
        <v/>
      </c>
      <c r="O14" s="578">
        <f>G14</f>
        <v/>
      </c>
      <c r="P14" s="579">
        <f>H14</f>
        <v/>
      </c>
      <c r="Q14" s="579">
        <f>I14</f>
        <v/>
      </c>
      <c r="R14" s="578">
        <f>J14</f>
        <v/>
      </c>
      <c r="S14" s="580">
        <f>K14</f>
        <v/>
      </c>
      <c r="T14" s="581" t="inlineStr">
        <is>
          <t>V</t>
        </is>
      </c>
      <c r="U14" s="582">
        <f>0.002*(E14-D14)</f>
        <v/>
      </c>
      <c r="V14" s="157" t="n"/>
    </row>
    <row r="15" ht="13" customFormat="1" customHeight="1" s="383" thickBot="1">
      <c r="A15" s="154" t="n"/>
      <c r="B15" s="505" t="n"/>
      <c r="C15" s="505" t="n"/>
      <c r="D15" s="505" t="n"/>
      <c r="E15" s="506" t="n"/>
      <c r="F15" s="583" t="n">
        <v>0.002</v>
      </c>
      <c r="G15" s="584" t="n">
        <v>2.001</v>
      </c>
      <c r="H15" s="584" t="n">
        <v>4.004</v>
      </c>
      <c r="I15" s="584" t="n">
        <v>6.006</v>
      </c>
      <c r="J15" s="585" t="n">
        <v>8.01</v>
      </c>
      <c r="K15" s="586" t="n">
        <v>10</v>
      </c>
      <c r="L15" s="505" t="n"/>
      <c r="M15" s="505" t="n"/>
      <c r="N15" s="583" t="n"/>
      <c r="O15" s="585" t="n"/>
      <c r="P15" s="585" t="n"/>
      <c r="Q15" s="585" t="n"/>
      <c r="R15" s="585" t="n"/>
      <c r="S15" s="586" t="n"/>
      <c r="T15" s="505" t="n"/>
      <c r="U15" s="507" t="n"/>
      <c r="V15" s="157" t="n"/>
    </row>
    <row r="16" ht="13" customFormat="1" customHeight="1" s="383" thickBot="1">
      <c r="A16" s="154" t="n"/>
      <c r="B16" s="411" t="inlineStr">
        <is>
          <t>804 AI Vais BP</t>
        </is>
      </c>
      <c r="C16" s="564" t="n"/>
      <c r="D16" s="564" t="n">
        <v>0</v>
      </c>
      <c r="E16" s="587" t="n">
        <v>10</v>
      </c>
      <c r="F16" s="572">
        <f>0*E16</f>
        <v/>
      </c>
      <c r="G16" s="573">
        <f>0.2*E16</f>
        <v/>
      </c>
      <c r="H16" s="573">
        <f>0.4*E16</f>
        <v/>
      </c>
      <c r="I16" s="573">
        <f>0.6*E16</f>
        <v/>
      </c>
      <c r="J16" s="573">
        <f>0.8*E16</f>
        <v/>
      </c>
      <c r="K16" s="574">
        <f>1*E16</f>
        <v/>
      </c>
      <c r="L16" s="575" t="inlineStr">
        <is>
          <t>P</t>
        </is>
      </c>
      <c r="M16" s="576" t="n"/>
      <c r="N16" s="577">
        <f>F16</f>
        <v/>
      </c>
      <c r="O16" s="578">
        <f>G16</f>
        <v/>
      </c>
      <c r="P16" s="579">
        <f>H16</f>
        <v/>
      </c>
      <c r="Q16" s="579">
        <f>I16</f>
        <v/>
      </c>
      <c r="R16" s="578">
        <f>J16</f>
        <v/>
      </c>
      <c r="S16" s="580">
        <f>K16</f>
        <v/>
      </c>
      <c r="T16" s="581" t="inlineStr">
        <is>
          <t>V</t>
        </is>
      </c>
      <c r="U16" s="582">
        <f>0.002*(E16-D16)</f>
        <v/>
      </c>
      <c r="V16" s="157" t="n"/>
    </row>
    <row r="17" ht="13" customFormat="1" customHeight="1" s="383" thickBot="1">
      <c r="A17" s="154" t="n"/>
      <c r="B17" s="505" t="n"/>
      <c r="C17" s="505" t="n"/>
      <c r="D17" s="505" t="n"/>
      <c r="E17" s="505" t="n"/>
      <c r="F17" s="583" t="n">
        <v>0.002</v>
      </c>
      <c r="G17" s="584" t="n">
        <v>2.001</v>
      </c>
      <c r="H17" s="584" t="n">
        <v>4.004</v>
      </c>
      <c r="I17" s="584" t="n">
        <v>6.006</v>
      </c>
      <c r="J17" s="585" t="n">
        <v>8.009</v>
      </c>
      <c r="K17" s="586" t="n">
        <v>10</v>
      </c>
      <c r="L17" s="505" t="n"/>
      <c r="M17" s="505" t="n"/>
      <c r="N17" s="583" t="n"/>
      <c r="O17" s="585" t="n"/>
      <c r="P17" s="585" t="n"/>
      <c r="Q17" s="585" t="n"/>
      <c r="R17" s="585" t="n"/>
      <c r="S17" s="586" t="n"/>
      <c r="T17" s="505" t="n"/>
      <c r="U17" s="507" t="n"/>
      <c r="V17" s="157" t="n"/>
    </row>
    <row r="18" ht="13" customFormat="1" customHeight="1" s="383" thickBot="1">
      <c r="A18" s="154" t="n"/>
      <c r="B18" s="411" t="inlineStr">
        <is>
          <t>805 AI</t>
        </is>
      </c>
      <c r="C18" s="564" t="n"/>
      <c r="D18" s="564" t="n">
        <v>0</v>
      </c>
      <c r="E18" s="587" t="n">
        <v>10</v>
      </c>
      <c r="F18" s="572">
        <f>0*E18</f>
        <v/>
      </c>
      <c r="G18" s="573">
        <f>0.2*E18</f>
        <v/>
      </c>
      <c r="H18" s="573">
        <f>0.4*E18</f>
        <v/>
      </c>
      <c r="I18" s="573">
        <f>0.6*E18</f>
        <v/>
      </c>
      <c r="J18" s="573">
        <f>0.8*E18</f>
        <v/>
      </c>
      <c r="K18" s="574">
        <f>1*E18</f>
        <v/>
      </c>
      <c r="L18" s="575" t="inlineStr">
        <is>
          <t>P</t>
        </is>
      </c>
      <c r="M18" s="576" t="n"/>
      <c r="N18" s="577">
        <f>F18</f>
        <v/>
      </c>
      <c r="O18" s="578">
        <f>G18</f>
        <v/>
      </c>
      <c r="P18" s="579">
        <f>H18</f>
        <v/>
      </c>
      <c r="Q18" s="579">
        <f>I18</f>
        <v/>
      </c>
      <c r="R18" s="578">
        <f>J18</f>
        <v/>
      </c>
      <c r="S18" s="580">
        <f>K18</f>
        <v/>
      </c>
      <c r="T18" s="581" t="inlineStr">
        <is>
          <t>V</t>
        </is>
      </c>
      <c r="U18" s="582">
        <f>0.002*(E18-D18)</f>
        <v/>
      </c>
      <c r="V18" s="157" t="n"/>
    </row>
    <row r="19" ht="13" customFormat="1" customHeight="1" s="383" thickBot="1">
      <c r="A19" s="154" t="n"/>
      <c r="B19" s="505" t="n"/>
      <c r="C19" s="505" t="n"/>
      <c r="D19" s="505" t="n"/>
      <c r="E19" s="505" t="n"/>
      <c r="F19" s="583" t="n">
        <v>0.001</v>
      </c>
      <c r="G19" s="584" t="n">
        <v>2.002</v>
      </c>
      <c r="H19" s="584" t="n">
        <v>4.005</v>
      </c>
      <c r="I19" s="584" t="n">
        <v>6.007</v>
      </c>
      <c r="J19" s="585" t="n">
        <v>8.009</v>
      </c>
      <c r="K19" s="586" t="n">
        <v>10</v>
      </c>
      <c r="L19" s="505" t="n"/>
      <c r="M19" s="505" t="n"/>
      <c r="N19" s="583" t="n"/>
      <c r="O19" s="585" t="n"/>
      <c r="P19" s="585" t="n"/>
      <c r="Q19" s="585" t="n"/>
      <c r="R19" s="585" t="n"/>
      <c r="S19" s="586" t="n"/>
      <c r="T19" s="505" t="n"/>
      <c r="U19" s="507" t="n"/>
      <c r="V19" s="157" t="n"/>
    </row>
    <row r="20" ht="13" customFormat="1" customHeight="1" s="383" thickBot="1">
      <c r="A20" s="154" t="n"/>
      <c r="B20" s="411" t="inlineStr">
        <is>
          <t>806 AI Turbo Spd 1</t>
        </is>
      </c>
      <c r="C20" s="564" t="n"/>
      <c r="D20" s="564" t="n">
        <v>0</v>
      </c>
      <c r="E20" s="587" t="n">
        <v>10</v>
      </c>
      <c r="F20" s="572">
        <f>0*E20</f>
        <v/>
      </c>
      <c r="G20" s="573">
        <f>0.2*E20</f>
        <v/>
      </c>
      <c r="H20" s="573">
        <f>0.4*E20</f>
        <v/>
      </c>
      <c r="I20" s="573">
        <f>0.6*E20</f>
        <v/>
      </c>
      <c r="J20" s="573">
        <f>0.8*E20</f>
        <v/>
      </c>
      <c r="K20" s="574">
        <f>1*E20</f>
        <v/>
      </c>
      <c r="L20" s="575" t="inlineStr">
        <is>
          <t>P</t>
        </is>
      </c>
      <c r="M20" s="576" t="n"/>
      <c r="N20" s="577">
        <f>F20</f>
        <v/>
      </c>
      <c r="O20" s="578">
        <f>G20</f>
        <v/>
      </c>
      <c r="P20" s="579">
        <f>H20</f>
        <v/>
      </c>
      <c r="Q20" s="579">
        <f>I20</f>
        <v/>
      </c>
      <c r="R20" s="578">
        <f>J20</f>
        <v/>
      </c>
      <c r="S20" s="580">
        <f>K20</f>
        <v/>
      </c>
      <c r="T20" s="581" t="inlineStr">
        <is>
          <t>V</t>
        </is>
      </c>
      <c r="U20" s="582">
        <f>0.002*(E20-D20)</f>
        <v/>
      </c>
      <c r="V20" s="157" t="n"/>
    </row>
    <row r="21" ht="13" customFormat="1" customHeight="1" s="383" thickBot="1">
      <c r="A21" s="154" t="n"/>
      <c r="B21" s="505" t="n"/>
      <c r="C21" s="505" t="n"/>
      <c r="D21" s="505" t="n"/>
      <c r="E21" s="505" t="n"/>
      <c r="F21" s="583" t="n">
        <v>0.001</v>
      </c>
      <c r="G21" s="584" t="n">
        <v>2.002</v>
      </c>
      <c r="H21" s="584" t="n">
        <v>4.008</v>
      </c>
      <c r="I21" s="584" t="n">
        <v>6.007</v>
      </c>
      <c r="J21" s="585" t="n">
        <v>8.013</v>
      </c>
      <c r="K21" s="586" t="n">
        <v>10</v>
      </c>
      <c r="L21" s="505" t="n"/>
      <c r="M21" s="505" t="n"/>
      <c r="N21" s="583" t="n"/>
      <c r="O21" s="585" t="n"/>
      <c r="P21" s="585" t="n"/>
      <c r="Q21" s="585" t="n"/>
      <c r="R21" s="585" t="n"/>
      <c r="S21" s="586" t="n"/>
      <c r="T21" s="505" t="n"/>
      <c r="U21" s="507" t="n"/>
      <c r="V21" s="157" t="n"/>
    </row>
    <row r="22" ht="13" customFormat="1" customHeight="1" s="383" thickBot="1">
      <c r="A22" s="154" t="n"/>
      <c r="B22" s="411" t="inlineStr">
        <is>
          <t>807 AI Turbo Spd 3</t>
        </is>
      </c>
      <c r="C22" s="564" t="n"/>
      <c r="D22" s="564" t="n">
        <v>0</v>
      </c>
      <c r="E22" s="587" t="n">
        <v>10</v>
      </c>
      <c r="F22" s="572">
        <f>0*E22</f>
        <v/>
      </c>
      <c r="G22" s="573">
        <f>0.2*E22</f>
        <v/>
      </c>
      <c r="H22" s="573">
        <f>0.4*E22</f>
        <v/>
      </c>
      <c r="I22" s="573">
        <f>0.6*E22</f>
        <v/>
      </c>
      <c r="J22" s="573">
        <f>0.8*E22</f>
        <v/>
      </c>
      <c r="K22" s="574">
        <f>1*E22</f>
        <v/>
      </c>
      <c r="L22" s="575" t="inlineStr">
        <is>
          <t>P</t>
        </is>
      </c>
      <c r="M22" s="576" t="n"/>
      <c r="N22" s="577">
        <f>F22</f>
        <v/>
      </c>
      <c r="O22" s="578">
        <f>G22</f>
        <v/>
      </c>
      <c r="P22" s="579">
        <f>H22</f>
        <v/>
      </c>
      <c r="Q22" s="579">
        <f>I22</f>
        <v/>
      </c>
      <c r="R22" s="578">
        <f>J22</f>
        <v/>
      </c>
      <c r="S22" s="580">
        <f>K22</f>
        <v/>
      </c>
      <c r="T22" s="581" t="inlineStr">
        <is>
          <t>V</t>
        </is>
      </c>
      <c r="U22" s="582">
        <f>0.002*(E22-D22)</f>
        <v/>
      </c>
      <c r="V22" s="157" t="n"/>
    </row>
    <row r="23" ht="13" customFormat="1" customHeight="1" s="383" thickBot="1">
      <c r="A23" s="154" t="n"/>
      <c r="B23" s="505" t="n"/>
      <c r="C23" s="505" t="n"/>
      <c r="D23" s="505" t="n"/>
      <c r="E23" s="505" t="n"/>
      <c r="F23" s="583" t="n">
        <v>0.001</v>
      </c>
      <c r="G23" s="584" t="n">
        <v>2.005</v>
      </c>
      <c r="H23" s="584" t="n">
        <v>4.008</v>
      </c>
      <c r="I23" s="584" t="n">
        <v>6.005</v>
      </c>
      <c r="J23" s="585" t="n">
        <v>8.01</v>
      </c>
      <c r="K23" s="586" t="n">
        <v>10</v>
      </c>
      <c r="L23" s="505" t="n"/>
      <c r="M23" s="505" t="n"/>
      <c r="N23" s="583" t="n"/>
      <c r="O23" s="585" t="n"/>
      <c r="P23" s="585" t="n"/>
      <c r="Q23" s="585" t="n"/>
      <c r="R23" s="585" t="n"/>
      <c r="S23" s="586" t="n"/>
      <c r="T23" s="505" t="n"/>
      <c r="U23" s="507" t="n"/>
      <c r="V23" s="157" t="n"/>
    </row>
    <row r="24" ht="13" customFormat="1" customHeight="1" s="383" thickBot="1">
      <c r="A24" s="154" t="n"/>
      <c r="B24" s="411" t="inlineStr">
        <is>
          <t>808 AI</t>
        </is>
      </c>
      <c r="C24" s="564" t="n"/>
      <c r="D24" s="564" t="n">
        <v>0</v>
      </c>
      <c r="E24" s="587" t="n">
        <v>10</v>
      </c>
      <c r="F24" s="572">
        <f>0*E24</f>
        <v/>
      </c>
      <c r="G24" s="573">
        <f>0.2*E24</f>
        <v/>
      </c>
      <c r="H24" s="573">
        <f>0.4*E24</f>
        <v/>
      </c>
      <c r="I24" s="573">
        <f>0.6*E24</f>
        <v/>
      </c>
      <c r="J24" s="573">
        <f>0.8*E24</f>
        <v/>
      </c>
      <c r="K24" s="574">
        <f>1*E24</f>
        <v/>
      </c>
      <c r="L24" s="575" t="inlineStr">
        <is>
          <t>P</t>
        </is>
      </c>
      <c r="M24" s="576" t="n"/>
      <c r="N24" s="577">
        <f>F24</f>
        <v/>
      </c>
      <c r="O24" s="578">
        <f>G24</f>
        <v/>
      </c>
      <c r="P24" s="579">
        <f>H24</f>
        <v/>
      </c>
      <c r="Q24" s="579">
        <f>I24</f>
        <v/>
      </c>
      <c r="R24" s="578">
        <f>J24</f>
        <v/>
      </c>
      <c r="S24" s="580">
        <f>K24</f>
        <v/>
      </c>
      <c r="T24" s="581" t="inlineStr">
        <is>
          <t>V</t>
        </is>
      </c>
      <c r="U24" s="582">
        <f>0.002*(E24-D24)</f>
        <v/>
      </c>
      <c r="V24" s="157" t="n"/>
    </row>
    <row r="25" ht="13" customFormat="1" customHeight="1" s="383" thickBot="1">
      <c r="A25" s="154" t="n"/>
      <c r="B25" s="505" t="n"/>
      <c r="C25" s="505" t="n"/>
      <c r="D25" s="505" t="n"/>
      <c r="E25" s="505" t="n"/>
      <c r="F25" s="583" t="n">
        <v>0</v>
      </c>
      <c r="G25" s="584" t="n">
        <v>2.002</v>
      </c>
      <c r="H25" s="584" t="n">
        <v>4.004</v>
      </c>
      <c r="I25" s="584" t="n">
        <v>6.007</v>
      </c>
      <c r="J25" s="585" t="n">
        <v>8.01</v>
      </c>
      <c r="K25" s="586" t="n">
        <v>10</v>
      </c>
      <c r="L25" s="505" t="n"/>
      <c r="M25" s="505" t="n"/>
      <c r="N25" s="583" t="n"/>
      <c r="O25" s="585" t="n"/>
      <c r="P25" s="585" t="n"/>
      <c r="Q25" s="585" t="n"/>
      <c r="R25" s="585" t="n"/>
      <c r="S25" s="586" t="n"/>
      <c r="T25" s="505" t="n"/>
      <c r="U25" s="507" t="n"/>
      <c r="V25" s="157" t="n"/>
    </row>
    <row r="26" ht="13" customFormat="1" customHeight="1" s="383" thickBot="1">
      <c r="A26" s="154" t="n"/>
      <c r="B26" s="411" t="inlineStr">
        <is>
          <t>901 AI</t>
        </is>
      </c>
      <c r="C26" s="564" t="n"/>
      <c r="D26" s="564" t="n">
        <v>0</v>
      </c>
      <c r="E26" s="587" t="n">
        <v>10</v>
      </c>
      <c r="F26" s="572">
        <f>0*E26</f>
        <v/>
      </c>
      <c r="G26" s="573">
        <f>0.2*E26</f>
        <v/>
      </c>
      <c r="H26" s="573">
        <f>0.4*E26</f>
        <v/>
      </c>
      <c r="I26" s="573">
        <f>0.6*E26</f>
        <v/>
      </c>
      <c r="J26" s="573">
        <f>0.8*E26</f>
        <v/>
      </c>
      <c r="K26" s="574">
        <f>1*E26</f>
        <v/>
      </c>
      <c r="L26" s="575" t="inlineStr">
        <is>
          <t>P</t>
        </is>
      </c>
      <c r="M26" s="576" t="n"/>
      <c r="N26" s="577">
        <f>F26</f>
        <v/>
      </c>
      <c r="O26" s="578">
        <f>G26</f>
        <v/>
      </c>
      <c r="P26" s="579">
        <f>H26</f>
        <v/>
      </c>
      <c r="Q26" s="579">
        <f>I26</f>
        <v/>
      </c>
      <c r="R26" s="578">
        <f>J26</f>
        <v/>
      </c>
      <c r="S26" s="580">
        <f>K26</f>
        <v/>
      </c>
      <c r="T26" s="581" t="inlineStr">
        <is>
          <t>V</t>
        </is>
      </c>
      <c r="U26" s="582">
        <f>0.002*(E26-D26)</f>
        <v/>
      </c>
      <c r="V26" s="157" t="n"/>
    </row>
    <row r="27" ht="13" customFormat="1" customHeight="1" s="383" thickBot="1">
      <c r="A27" s="154" t="n"/>
      <c r="B27" s="505" t="n"/>
      <c r="C27" s="505" t="n"/>
      <c r="D27" s="505" t="n"/>
      <c r="E27" s="505" t="n"/>
      <c r="F27" s="583" t="n">
        <v>0</v>
      </c>
      <c r="G27" s="584" t="n">
        <v>2</v>
      </c>
      <c r="H27" s="584" t="n">
        <v>4.001</v>
      </c>
      <c r="I27" s="584" t="n">
        <v>6.006</v>
      </c>
      <c r="J27" s="585" t="n">
        <v>8.003</v>
      </c>
      <c r="K27" s="586" t="n">
        <v>10</v>
      </c>
      <c r="L27" s="505" t="n"/>
      <c r="M27" s="505" t="n"/>
      <c r="N27" s="583" t="n"/>
      <c r="O27" s="585" t="n"/>
      <c r="P27" s="585" t="n"/>
      <c r="Q27" s="585" t="n"/>
      <c r="R27" s="585" t="n"/>
      <c r="S27" s="586" t="n"/>
      <c r="T27" s="505" t="n"/>
      <c r="U27" s="507" t="n"/>
      <c r="V27" s="157" t="n"/>
    </row>
    <row r="28" ht="13" customFormat="1" customHeight="1" s="383" thickBot="1">
      <c r="A28" s="154" t="n"/>
      <c r="B28" s="411" t="inlineStr">
        <is>
          <t>902 AI</t>
        </is>
      </c>
      <c r="C28" s="411" t="n"/>
      <c r="D28" s="564" t="n">
        <v>0</v>
      </c>
      <c r="E28" s="587" t="n">
        <v>10</v>
      </c>
      <c r="F28" s="572">
        <f>0*E28</f>
        <v/>
      </c>
      <c r="G28" s="573">
        <f>0.2*E28</f>
        <v/>
      </c>
      <c r="H28" s="573">
        <f>0.4*E28</f>
        <v/>
      </c>
      <c r="I28" s="573">
        <f>0.6*E28</f>
        <v/>
      </c>
      <c r="J28" s="573">
        <f>0.8*E28</f>
        <v/>
      </c>
      <c r="K28" s="574">
        <f>1*E28</f>
        <v/>
      </c>
      <c r="L28" s="575" t="inlineStr">
        <is>
          <t>F</t>
        </is>
      </c>
      <c r="M28" s="576" t="n"/>
      <c r="N28" s="577">
        <f>F28</f>
        <v/>
      </c>
      <c r="O28" s="578">
        <f>G28</f>
        <v/>
      </c>
      <c r="P28" s="579">
        <f>H28</f>
        <v/>
      </c>
      <c r="Q28" s="579">
        <f>I28</f>
        <v/>
      </c>
      <c r="R28" s="578">
        <f>J28</f>
        <v/>
      </c>
      <c r="S28" s="580">
        <f>K28</f>
        <v/>
      </c>
      <c r="T28" s="581" t="inlineStr">
        <is>
          <t>V</t>
        </is>
      </c>
      <c r="U28" s="582">
        <f>0.002*(E28-D28)</f>
        <v/>
      </c>
      <c r="V28" s="157" t="n"/>
    </row>
    <row r="29" ht="13" customFormat="1" customHeight="1" s="383" thickBot="1">
      <c r="A29" s="154" t="n"/>
      <c r="B29" s="505" t="n"/>
      <c r="C29" s="505" t="n"/>
      <c r="D29" s="505" t="n"/>
      <c r="E29" s="505" t="n"/>
      <c r="F29" s="583" t="n"/>
      <c r="G29" s="584" t="n"/>
      <c r="H29" s="584" t="n"/>
      <c r="I29" s="584" t="n"/>
      <c r="J29" s="585" t="n"/>
      <c r="K29" s="586" t="n"/>
      <c r="L29" s="505" t="n"/>
      <c r="M29" s="505" t="n"/>
      <c r="N29" s="583" t="n"/>
      <c r="O29" s="585" t="n"/>
      <c r="P29" s="585" t="n"/>
      <c r="Q29" s="585" t="n"/>
      <c r="R29" s="585" t="n"/>
      <c r="S29" s="586" t="n"/>
      <c r="T29" s="505" t="n"/>
      <c r="U29" s="507" t="n"/>
      <c r="V29" s="157" t="n"/>
    </row>
    <row r="30" ht="13" customFormat="1" customHeight="1" s="383" thickBot="1">
      <c r="A30" s="154" t="n"/>
      <c r="B30" s="411" t="inlineStr">
        <is>
          <t>903 AI</t>
        </is>
      </c>
      <c r="C30" s="411" t="n"/>
      <c r="D30" s="564" t="n">
        <v>0</v>
      </c>
      <c r="E30" s="587" t="n">
        <v>10</v>
      </c>
      <c r="F30" s="572">
        <f>0*E30</f>
        <v/>
      </c>
      <c r="G30" s="573">
        <f>0.2*E30</f>
        <v/>
      </c>
      <c r="H30" s="573">
        <f>0.4*E30</f>
        <v/>
      </c>
      <c r="I30" s="573">
        <f>0.6*E30</f>
        <v/>
      </c>
      <c r="J30" s="573">
        <f>0.8*E30</f>
        <v/>
      </c>
      <c r="K30" s="574">
        <f>1*E30</f>
        <v/>
      </c>
      <c r="L30" s="575" t="inlineStr">
        <is>
          <t>F</t>
        </is>
      </c>
      <c r="M30" s="576" t="n"/>
      <c r="N30" s="577">
        <f>F30</f>
        <v/>
      </c>
      <c r="O30" s="578">
        <f>G30</f>
        <v/>
      </c>
      <c r="P30" s="579">
        <f>H30</f>
        <v/>
      </c>
      <c r="Q30" s="579">
        <f>I30</f>
        <v/>
      </c>
      <c r="R30" s="578">
        <f>J30</f>
        <v/>
      </c>
      <c r="S30" s="580">
        <f>K30</f>
        <v/>
      </c>
      <c r="T30" s="581" t="inlineStr">
        <is>
          <t>V</t>
        </is>
      </c>
      <c r="U30" s="582">
        <f>0.002*(E30-D30)</f>
        <v/>
      </c>
      <c r="V30" s="157" t="n"/>
    </row>
    <row r="31" ht="13" customFormat="1" customHeight="1" s="383" thickBot="1">
      <c r="A31" s="154" t="n"/>
      <c r="B31" s="505" t="n"/>
      <c r="C31" s="505" t="n"/>
      <c r="D31" s="505" t="n"/>
      <c r="E31" s="505" t="n"/>
      <c r="F31" s="583" t="n"/>
      <c r="G31" s="584" t="n"/>
      <c r="H31" s="584" t="n"/>
      <c r="I31" s="584" t="n"/>
      <c r="J31" s="585" t="n"/>
      <c r="K31" s="586" t="n"/>
      <c r="L31" s="505" t="n"/>
      <c r="M31" s="505" t="n"/>
      <c r="N31" s="583" t="n"/>
      <c r="O31" s="585" t="n"/>
      <c r="P31" s="585" t="n"/>
      <c r="Q31" s="585" t="n"/>
      <c r="R31" s="585" t="n"/>
      <c r="S31" s="586" t="n"/>
      <c r="T31" s="505" t="n"/>
      <c r="U31" s="507" t="n"/>
      <c r="V31" s="157" t="n"/>
    </row>
    <row r="32" ht="15" customFormat="1" customHeight="1" s="383" thickBot="1">
      <c r="A32" s="160" t="n"/>
      <c r="B32" s="10" t="n"/>
      <c r="C32" s="10" t="n"/>
      <c r="D32" s="10" t="n"/>
      <c r="E32" s="10" t="inlineStr">
        <is>
          <t xml:space="preserve">         Pre-Cals. Checked By.</t>
        </is>
      </c>
      <c r="F32" s="379" t="inlineStr">
        <is>
          <t>CD</t>
        </is>
      </c>
      <c r="G32" s="547" t="n"/>
      <c r="H32" s="149" t="n"/>
      <c r="I32" s="149" t="n"/>
      <c r="J32" s="149" t="n"/>
      <c r="K32" s="149" t="n"/>
      <c r="L32" s="149" t="n"/>
      <c r="M32" s="149" t="n"/>
      <c r="N32" s="149" t="n"/>
      <c r="O32" s="149" t="n"/>
      <c r="P32" s="149" t="n"/>
      <c r="Q32" s="149" t="n"/>
      <c r="R32" s="149" t="n"/>
      <c r="S32" s="149" t="n"/>
      <c r="T32" s="149" t="n"/>
      <c r="U32" s="149" t="n"/>
      <c r="V32" s="157" t="n"/>
    </row>
    <row r="33" ht="15" customFormat="1" customHeight="1" s="383">
      <c r="A33" s="160" t="n"/>
      <c r="B33" s="18" t="n"/>
      <c r="C33" s="149" t="n"/>
      <c r="D33" s="149" t="n"/>
      <c r="E33" s="149" t="n"/>
      <c r="F33" s="149" t="n"/>
      <c r="G33" s="10" t="n"/>
      <c r="H33" s="10" t="n"/>
      <c r="I33" s="10" t="n"/>
      <c r="J33" s="10" t="n"/>
      <c r="K33" s="10" t="n"/>
      <c r="L33" s="10" t="n"/>
      <c r="M33" s="8" t="n"/>
      <c r="N33" s="149" t="n"/>
      <c r="O33" s="551" t="n"/>
      <c r="P33" s="551" t="n"/>
      <c r="Q33" s="551" t="n"/>
      <c r="R33" s="149" t="n"/>
      <c r="S33" s="149" t="n"/>
      <c r="T33" s="149" t="n"/>
      <c r="U33" s="149" t="n"/>
      <c r="V33" s="157" t="n"/>
    </row>
    <row r="34" ht="15" customFormat="1" customHeight="1" s="383" thickBot="1">
      <c r="A34" s="160" t="n"/>
      <c r="B34" s="10" t="n"/>
      <c r="C34" s="10" t="n"/>
      <c r="D34" s="10" t="inlineStr">
        <is>
          <t xml:space="preserve">Calibrator Used. </t>
        </is>
      </c>
      <c r="E34" s="384" t="inlineStr">
        <is>
          <t>DEVT No.</t>
        </is>
      </c>
      <c r="F34" s="509" t="n"/>
      <c r="G34" s="381" t="inlineStr">
        <is>
          <t>Make / Model</t>
        </is>
      </c>
      <c r="H34" s="461" t="n"/>
      <c r="I34" s="461" t="n"/>
      <c r="J34" s="461" t="n"/>
      <c r="K34" s="444" t="inlineStr">
        <is>
          <t>Serial Number</t>
        </is>
      </c>
      <c r="L34" s="461" t="n"/>
      <c r="M34" s="461" t="n"/>
      <c r="N34" s="445" t="inlineStr">
        <is>
          <t>Calibration Next Due</t>
        </is>
      </c>
      <c r="O34" s="509" t="n"/>
      <c r="P34" s="509" t="n"/>
      <c r="Q34" s="149" t="n"/>
      <c r="R34" s="149" t="n"/>
      <c r="S34" s="149" t="n"/>
      <c r="T34" s="149" t="n"/>
      <c r="U34" s="149" t="n"/>
      <c r="V34" s="157" t="n"/>
    </row>
    <row r="35" ht="15" customFormat="1" customHeight="1" s="383">
      <c r="A35" s="160" t="n"/>
      <c r="B35" s="149" t="n"/>
      <c r="C35" s="149" t="n"/>
      <c r="D35" s="150" t="inlineStr">
        <is>
          <t xml:space="preserve">Range A. </t>
        </is>
      </c>
      <c r="E35" s="428" t="n">
        <v>105</v>
      </c>
      <c r="F35" s="511" t="n"/>
      <c r="G35" s="430" t="inlineStr">
        <is>
          <t>Druck DPI 620</t>
        </is>
      </c>
      <c r="H35" s="513" t="n"/>
      <c r="I35" s="513" t="n"/>
      <c r="J35" s="511" t="n"/>
      <c r="K35" s="433" t="n"/>
      <c r="L35" s="513" t="n"/>
      <c r="M35" s="511" t="n"/>
      <c r="N35" s="434" t="n">
        <v>44866</v>
      </c>
      <c r="O35" s="513" t="n"/>
      <c r="P35" s="511" t="n"/>
      <c r="Q35" s="551" t="n"/>
      <c r="R35" s="551" t="inlineStr">
        <is>
          <t>Where</t>
        </is>
      </c>
      <c r="S35" s="151" t="inlineStr">
        <is>
          <t>set point</t>
        </is>
      </c>
      <c r="T35" s="149" t="inlineStr">
        <is>
          <t>are the</t>
        </is>
      </c>
      <c r="U35" s="149" t="n"/>
      <c r="V35" s="157" t="n"/>
    </row>
    <row r="36" ht="15" customFormat="1" customHeight="1" s="383">
      <c r="A36" s="160" t="n"/>
      <c r="B36" s="149" t="n"/>
      <c r="C36" s="149" t="n"/>
      <c r="D36" s="150" t="inlineStr">
        <is>
          <t xml:space="preserve">Range B. </t>
        </is>
      </c>
      <c r="E36" s="436" t="n"/>
      <c r="F36" s="517" t="n"/>
      <c r="G36" s="438" t="n"/>
      <c r="H36" s="519" t="n"/>
      <c r="I36" s="519" t="n"/>
      <c r="J36" s="517" t="n"/>
      <c r="K36" s="440" t="n"/>
      <c r="L36" s="519" t="n"/>
      <c r="M36" s="517" t="n"/>
      <c r="N36" s="441" t="n"/>
      <c r="O36" s="519" t="n"/>
      <c r="P36" s="517" t="n"/>
      <c r="Q36" s="149" t="n"/>
      <c r="R36" s="149" t="n"/>
      <c r="S36" s="18" t="inlineStr">
        <is>
          <t>calibration points.</t>
        </is>
      </c>
      <c r="T36" s="8" t="n"/>
      <c r="U36" s="8" t="n"/>
      <c r="V36" s="157" t="n"/>
    </row>
    <row r="37" ht="15" customFormat="1" customHeight="1" s="383" thickBot="1">
      <c r="A37" s="160" t="n"/>
      <c r="B37" s="149" t="n"/>
      <c r="C37" s="149" t="n"/>
      <c r="D37" s="150" t="inlineStr">
        <is>
          <t xml:space="preserve">Range C. </t>
        </is>
      </c>
      <c r="E37" s="421" t="n"/>
      <c r="F37" s="524" t="n"/>
      <c r="G37" s="423" t="n"/>
      <c r="H37" s="526" t="n"/>
      <c r="I37" s="526" t="n"/>
      <c r="J37" s="524" t="n"/>
      <c r="K37" s="425" t="n"/>
      <c r="L37" s="526" t="n"/>
      <c r="M37" s="524" t="n"/>
      <c r="N37" s="426" t="n"/>
      <c r="O37" s="526" t="n"/>
      <c r="P37" s="524" t="n"/>
      <c r="Q37" s="10" t="n"/>
      <c r="R37" s="10" t="n"/>
      <c r="S37" s="149" t="n"/>
      <c r="T37" s="149" t="n"/>
      <c r="U37" s="149" t="n"/>
      <c r="V37" s="157" t="n"/>
    </row>
    <row r="38" ht="15" customFormat="1" customHeight="1" s="383" thickBot="1">
      <c r="A38" s="161" t="n"/>
      <c r="B38" s="75" t="n"/>
      <c r="C38" s="75" t="n"/>
      <c r="D38" s="75" t="n"/>
      <c r="E38" s="75" t="n"/>
      <c r="F38" s="75" t="n"/>
      <c r="G38" s="75" t="n"/>
      <c r="H38" s="75" t="n"/>
      <c r="I38" s="75" t="n"/>
      <c r="J38" s="75" t="n"/>
      <c r="K38" s="75" t="n"/>
      <c r="L38" s="75" t="n"/>
      <c r="M38" s="75" t="n"/>
      <c r="N38" s="75" t="n"/>
      <c r="O38" s="75" t="n"/>
      <c r="P38" s="75" t="n"/>
      <c r="Q38" s="75" t="n"/>
      <c r="R38" s="57" t="n"/>
      <c r="S38" s="75" t="n"/>
      <c r="T38" s="75" t="n"/>
      <c r="U38" s="75" t="n"/>
      <c r="V38" s="162" t="n"/>
    </row>
    <row r="39" ht="15" customFormat="1" customHeight="1" s="383" thickTop="1">
      <c r="A39" s="152" t="n"/>
      <c r="B39" s="145" t="n"/>
      <c r="C39" s="145" t="n"/>
      <c r="D39" s="145" t="n"/>
      <c r="E39" s="145" t="n"/>
      <c r="F39" s="145" t="n"/>
      <c r="G39" s="145" t="n"/>
      <c r="H39" s="145" t="n"/>
      <c r="I39" s="145" t="n"/>
      <c r="J39" s="145" t="n"/>
      <c r="K39" s="146" t="n"/>
      <c r="L39" s="146" t="n"/>
      <c r="M39" s="146" t="n"/>
      <c r="N39" s="146" t="n"/>
      <c r="O39" s="146" t="n"/>
      <c r="P39" s="146" t="n"/>
      <c r="Q39" s="146" t="n"/>
      <c r="R39" s="146" t="n"/>
      <c r="S39" s="146" t="n"/>
      <c r="T39" s="146" t="n"/>
      <c r="U39" s="146" t="n"/>
      <c r="V39" s="153" t="n"/>
    </row>
    <row r="40" ht="15" customFormat="1" customHeight="1" s="383">
      <c r="A40" s="560" t="inlineStr">
        <is>
          <t>Test Bed Analogue Input Channel Calibration</t>
        </is>
      </c>
      <c r="B40" s="461" t="n"/>
      <c r="C40" s="461" t="n"/>
      <c r="D40" s="461" t="n"/>
      <c r="E40" s="461" t="n"/>
      <c r="F40" s="461" t="n"/>
      <c r="G40" s="461" t="n"/>
      <c r="H40" s="461" t="n"/>
      <c r="I40" s="461" t="n"/>
      <c r="J40" s="461" t="n"/>
      <c r="K40" s="461" t="n"/>
      <c r="L40" s="461" t="n"/>
      <c r="M40" s="461" t="n"/>
      <c r="N40" s="461" t="n"/>
      <c r="O40" s="461" t="n"/>
      <c r="P40" s="461" t="n"/>
      <c r="Q40" s="461" t="n"/>
      <c r="R40" s="461" t="n"/>
      <c r="S40" s="461" t="n"/>
      <c r="T40" s="461" t="n"/>
      <c r="U40" s="461" t="n"/>
      <c r="V40" s="561" t="n"/>
    </row>
    <row r="41" ht="15" customFormat="1" customHeight="1" s="383" thickBot="1">
      <c r="A41" s="154" t="n"/>
      <c r="B41" s="7" t="n"/>
      <c r="C41" s="21" t="n"/>
      <c r="D41" s="21" t="n"/>
      <c r="E41" s="21" t="n"/>
      <c r="F41" s="21" t="n"/>
      <c r="G41" s="21" t="n"/>
      <c r="H41" s="7" t="n"/>
      <c r="I41" s="7" t="n"/>
      <c r="J41" s="147" t="n"/>
      <c r="K41" s="7" t="n"/>
      <c r="L41" s="7" t="n"/>
      <c r="M41" s="7" t="n"/>
      <c r="N41" s="7" t="n"/>
      <c r="O41" s="7" t="n"/>
      <c r="P41" s="7" t="n"/>
      <c r="Q41" s="7" t="n"/>
      <c r="R41" s="7" t="n"/>
      <c r="S41" s="7" t="n"/>
      <c r="T41" s="7" t="n"/>
      <c r="U41" s="7" t="n"/>
      <c r="V41" s="155" t="n"/>
    </row>
    <row r="42" ht="15" customFormat="1" customHeight="1" s="383" thickBot="1">
      <c r="A42" s="154" t="n"/>
      <c r="B42" s="10" t="inlineStr">
        <is>
          <t xml:space="preserve">Job No. </t>
        </is>
      </c>
      <c r="C42" s="194">
        <f>Title!$C$4</f>
        <v/>
      </c>
      <c r="D42" s="192" t="n"/>
      <c r="E42" s="10" t="inlineStr">
        <is>
          <t xml:space="preserve">Calibrated By. </t>
        </is>
      </c>
      <c r="F42" s="490">
        <f>Title!$C$3</f>
        <v/>
      </c>
      <c r="G42" s="471" t="n"/>
      <c r="H42" s="472" t="n"/>
      <c r="I42" s="197" t="n"/>
      <c r="J42" s="197" t="n"/>
      <c r="K42" s="10" t="inlineStr">
        <is>
          <t xml:space="preserve">Calibration Date. </t>
        </is>
      </c>
      <c r="L42" s="531">
        <f>Title!$C$9</f>
        <v/>
      </c>
      <c r="M42" s="472" t="n"/>
      <c r="O42" s="562" t="n"/>
      <c r="P42" s="10" t="inlineStr">
        <is>
          <t xml:space="preserve">Bed No. </t>
        </is>
      </c>
      <c r="Q42" s="474">
        <f>Title!$F$3</f>
        <v/>
      </c>
      <c r="R42" s="471" t="n"/>
      <c r="S42" s="471" t="n"/>
      <c r="T42" s="472" t="n"/>
      <c r="U42" s="199" t="n"/>
      <c r="V42" s="156" t="n"/>
    </row>
    <row r="43" ht="15" customFormat="1" customHeight="1" s="383">
      <c r="A43" s="154" t="n"/>
      <c r="B43" s="7" t="n"/>
      <c r="C43" s="21" t="n"/>
      <c r="D43" s="21" t="n"/>
      <c r="E43" s="21" t="n"/>
      <c r="F43" s="10" t="n"/>
      <c r="G43" s="21" t="n"/>
      <c r="I43" s="197" t="n"/>
      <c r="J43" s="197" t="n"/>
      <c r="K43" s="8" t="n"/>
      <c r="L43" s="8" t="n"/>
      <c r="M43" s="8" t="n"/>
      <c r="N43" s="8" t="n"/>
      <c r="O43" s="7" t="n"/>
      <c r="P43" s="8" t="n"/>
      <c r="Q43" s="8" t="n"/>
      <c r="R43" s="8" t="n"/>
      <c r="S43" s="8" t="n"/>
      <c r="T43" s="8" t="n"/>
      <c r="U43" s="8" t="n"/>
      <c r="V43" s="157" t="n"/>
    </row>
    <row r="44" ht="15" customFormat="1" customHeight="1" s="383">
      <c r="A44" s="158" t="inlineStr">
        <is>
          <t>Acceptable Deviation: 0.2% Full Scale.  Adjust if error &gt;80% accepted tolerance.</t>
        </is>
      </c>
      <c r="B44" s="21" t="n"/>
      <c r="C44" s="21" t="n"/>
      <c r="D44" s="21" t="n"/>
      <c r="E44" s="21" t="n"/>
      <c r="F44" s="21" t="n"/>
      <c r="G44" s="148" t="n"/>
      <c r="H44" s="148" t="n"/>
      <c r="I44" s="148" t="n"/>
      <c r="J44" s="148" t="n"/>
      <c r="K44" s="21" t="n"/>
      <c r="L44" s="21" t="n"/>
      <c r="M44" s="21" t="n"/>
      <c r="N44" s="21" t="n"/>
      <c r="O44" s="21" t="n"/>
      <c r="P44" s="21" t="n"/>
      <c r="Q44" s="21" t="n"/>
      <c r="R44" s="21" t="n"/>
      <c r="S44" s="21" t="n"/>
      <c r="T44" s="21" t="n"/>
      <c r="U44" s="21" t="n"/>
      <c r="V44" s="159" t="n"/>
    </row>
    <row r="45" ht="15" customFormat="1" customHeight="1" s="383" thickBot="1">
      <c r="A45" s="154" t="n"/>
      <c r="B45" s="147" t="n"/>
      <c r="C45" s="147" t="n"/>
      <c r="D45" s="147" t="n"/>
      <c r="E45" s="147" t="n"/>
      <c r="F45" s="147" t="n"/>
      <c r="G45" s="147" t="n"/>
      <c r="H45" s="147" t="n"/>
      <c r="I45" s="147" t="n"/>
      <c r="J45" s="147" t="n"/>
      <c r="K45" s="147" t="n"/>
      <c r="L45" s="147" t="n"/>
      <c r="M45" s="8" t="n"/>
      <c r="N45" s="8" t="n"/>
      <c r="O45" s="8" t="n"/>
      <c r="P45" s="8" t="n"/>
      <c r="Q45" s="8" t="n"/>
      <c r="R45" s="8" t="n"/>
      <c r="S45" s="8" t="n"/>
      <c r="T45" s="8" t="n"/>
      <c r="U45" s="8" t="n"/>
      <c r="V45" s="157" t="n"/>
    </row>
    <row r="46" ht="15" customFormat="1" customHeight="1" s="383">
      <c r="A46" s="154" t="n"/>
      <c r="B46" s="563" t="inlineStr">
        <is>
          <t>Channel No.</t>
        </is>
      </c>
      <c r="C46" s="563" t="inlineStr">
        <is>
          <t>Channel Name</t>
        </is>
      </c>
      <c r="D46" s="564" t="inlineStr">
        <is>
          <t>Lower Range</t>
        </is>
      </c>
      <c r="E46" s="565" t="inlineStr">
        <is>
          <t>Upper Range</t>
        </is>
      </c>
      <c r="F46" s="566" t="inlineStr">
        <is>
          <t>Pre-Calibration Set Points</t>
        </is>
      </c>
      <c r="G46" s="567" t="n"/>
      <c r="H46" s="567" t="n"/>
      <c r="I46" s="567" t="n"/>
      <c r="J46" s="567" t="n"/>
      <c r="K46" s="554" t="n"/>
      <c r="L46" s="451" t="inlineStr">
        <is>
          <t>Result</t>
        </is>
      </c>
      <c r="M46" s="568" t="inlineStr">
        <is>
          <t>Used</t>
        </is>
      </c>
      <c r="N46" s="566" t="inlineStr">
        <is>
          <t>Post-Calibration Set Points</t>
        </is>
      </c>
      <c r="O46" s="567" t="n"/>
      <c r="P46" s="567" t="n"/>
      <c r="Q46" s="567" t="n"/>
      <c r="R46" s="567" t="n"/>
      <c r="S46" s="554" t="n"/>
      <c r="T46" s="451" t="inlineStr">
        <is>
          <t>Units</t>
        </is>
      </c>
      <c r="U46" s="132" t="inlineStr">
        <is>
          <t>Accepted</t>
        </is>
      </c>
      <c r="V46" s="157" t="n"/>
    </row>
    <row r="47" ht="15" customFormat="1" customHeight="1" s="383" thickBot="1">
      <c r="A47" s="154" t="n"/>
      <c r="B47" s="507" t="n"/>
      <c r="C47" s="507" t="n"/>
      <c r="D47" s="505" t="n"/>
      <c r="E47" s="507" t="n"/>
      <c r="F47" s="569" t="n"/>
      <c r="G47" s="509" t="n"/>
      <c r="H47" s="509" t="n"/>
      <c r="I47" s="509" t="n"/>
      <c r="J47" s="509" t="n"/>
      <c r="K47" s="570" t="n"/>
      <c r="L47" s="133" t="inlineStr">
        <is>
          <t>F=Fail</t>
        </is>
      </c>
      <c r="M47" s="507" t="n"/>
      <c r="N47" s="569" t="n"/>
      <c r="O47" s="509" t="n"/>
      <c r="P47" s="509" t="n"/>
      <c r="Q47" s="509" t="n"/>
      <c r="R47" s="509" t="n"/>
      <c r="S47" s="570" t="n"/>
      <c r="T47" s="177" t="n"/>
      <c r="U47" s="134" t="inlineStr">
        <is>
          <t>Tolerance</t>
        </is>
      </c>
      <c r="V47" s="157" t="n"/>
    </row>
    <row r="48" ht="15" customFormat="1" customHeight="1" s="383" thickBot="1">
      <c r="A48" s="154" t="n"/>
      <c r="B48" s="411" t="inlineStr">
        <is>
          <t>904 AI</t>
        </is>
      </c>
      <c r="C48" s="564" t="n"/>
      <c r="D48" s="564" t="n"/>
      <c r="E48" s="571" t="n"/>
      <c r="F48" s="572">
        <f>0*E48</f>
        <v/>
      </c>
      <c r="G48" s="573">
        <f>0.2*E48</f>
        <v/>
      </c>
      <c r="H48" s="573">
        <f>0.4*E48</f>
        <v/>
      </c>
      <c r="I48" s="573">
        <f>0.6*E48</f>
        <v/>
      </c>
      <c r="J48" s="573">
        <f>0.8*E48</f>
        <v/>
      </c>
      <c r="K48" s="574">
        <f>1*E48</f>
        <v/>
      </c>
      <c r="L48" s="575" t="inlineStr">
        <is>
          <t>F</t>
        </is>
      </c>
      <c r="M48" s="576" t="n"/>
      <c r="N48" s="577">
        <f>F48</f>
        <v/>
      </c>
      <c r="O48" s="578">
        <f>G48</f>
        <v/>
      </c>
      <c r="P48" s="579">
        <f>H48</f>
        <v/>
      </c>
      <c r="Q48" s="579">
        <f>I48</f>
        <v/>
      </c>
      <c r="R48" s="578">
        <f>J48</f>
        <v/>
      </c>
      <c r="S48" s="580">
        <f>K48</f>
        <v/>
      </c>
      <c r="T48" s="581" t="inlineStr">
        <is>
          <t>V</t>
        </is>
      </c>
      <c r="U48" s="582">
        <f>0.002*(E48-D48)</f>
        <v/>
      </c>
      <c r="V48" s="157" t="n"/>
    </row>
    <row r="49" ht="15" customFormat="1" customHeight="1" s="383" thickBot="1">
      <c r="A49" s="154" t="n"/>
      <c r="B49" s="505" t="n"/>
      <c r="C49" s="505" t="n"/>
      <c r="D49" s="505" t="n"/>
      <c r="E49" s="506" t="n"/>
      <c r="F49" s="583" t="n"/>
      <c r="G49" s="584" t="n"/>
      <c r="H49" s="584" t="n"/>
      <c r="I49" s="584" t="n"/>
      <c r="J49" s="585" t="n"/>
      <c r="K49" s="586" t="n"/>
      <c r="L49" s="505" t="n"/>
      <c r="M49" s="505" t="n"/>
      <c r="N49" s="583" t="n"/>
      <c r="O49" s="585" t="n"/>
      <c r="P49" s="585" t="n"/>
      <c r="Q49" s="585" t="n"/>
      <c r="R49" s="585" t="n"/>
      <c r="S49" s="586" t="n"/>
      <c r="T49" s="505" t="n"/>
      <c r="U49" s="507" t="n"/>
      <c r="V49" s="157" t="n"/>
    </row>
    <row r="50" ht="15" customFormat="1" customHeight="1" s="383" thickBot="1">
      <c r="A50" s="154" t="n"/>
      <c r="B50" s="411" t="inlineStr">
        <is>
          <t>905 AI</t>
        </is>
      </c>
      <c r="C50" s="564" t="n"/>
      <c r="D50" s="564" t="n"/>
      <c r="E50" s="571" t="n"/>
      <c r="F50" s="572">
        <f>0*E50</f>
        <v/>
      </c>
      <c r="G50" s="573">
        <f>0.2*E50</f>
        <v/>
      </c>
      <c r="H50" s="573">
        <f>0.4*E50</f>
        <v/>
      </c>
      <c r="I50" s="573">
        <f>0.6*E50</f>
        <v/>
      </c>
      <c r="J50" s="573">
        <f>0.8*E50</f>
        <v/>
      </c>
      <c r="K50" s="574">
        <f>1*E50</f>
        <v/>
      </c>
      <c r="L50" s="575" t="inlineStr">
        <is>
          <t>F</t>
        </is>
      </c>
      <c r="M50" s="576" t="n"/>
      <c r="N50" s="577">
        <f>F50</f>
        <v/>
      </c>
      <c r="O50" s="578">
        <f>G50</f>
        <v/>
      </c>
      <c r="P50" s="579">
        <f>H50</f>
        <v/>
      </c>
      <c r="Q50" s="579">
        <f>I50</f>
        <v/>
      </c>
      <c r="R50" s="578">
        <f>J50</f>
        <v/>
      </c>
      <c r="S50" s="580">
        <f>K50</f>
        <v/>
      </c>
      <c r="T50" s="581" t="inlineStr">
        <is>
          <t>V</t>
        </is>
      </c>
      <c r="U50" s="582">
        <f>0.002*(E50-D50)</f>
        <v/>
      </c>
      <c r="V50" s="157" t="n"/>
    </row>
    <row r="51" ht="15" customFormat="1" customHeight="1" s="383" thickBot="1">
      <c r="A51" s="154" t="n"/>
      <c r="B51" s="505" t="n"/>
      <c r="C51" s="505" t="n"/>
      <c r="D51" s="505" t="n"/>
      <c r="E51" s="506" t="n"/>
      <c r="F51" s="583" t="n"/>
      <c r="G51" s="584" t="n"/>
      <c r="H51" s="584" t="n"/>
      <c r="I51" s="584" t="n"/>
      <c r="J51" s="585" t="n"/>
      <c r="K51" s="586" t="n"/>
      <c r="L51" s="505" t="n"/>
      <c r="M51" s="505" t="n"/>
      <c r="N51" s="583" t="n"/>
      <c r="O51" s="585" t="n"/>
      <c r="P51" s="585" t="n"/>
      <c r="Q51" s="585" t="n"/>
      <c r="R51" s="585" t="n"/>
      <c r="S51" s="586" t="n"/>
      <c r="T51" s="505" t="n"/>
      <c r="U51" s="507" t="n"/>
      <c r="V51" s="157" t="n"/>
    </row>
    <row r="52" ht="15" customFormat="1" customHeight="1" s="383" thickBot="1">
      <c r="A52" s="154" t="n"/>
      <c r="B52" s="411" t="inlineStr">
        <is>
          <t>906 AI</t>
        </is>
      </c>
      <c r="C52" s="564" t="n"/>
      <c r="D52" s="564" t="n"/>
      <c r="E52" s="571" t="n"/>
      <c r="F52" s="572">
        <f>0*E52</f>
        <v/>
      </c>
      <c r="G52" s="573">
        <f>0.2*E52</f>
        <v/>
      </c>
      <c r="H52" s="573">
        <f>0.4*E52</f>
        <v/>
      </c>
      <c r="I52" s="573">
        <f>0.6*E52</f>
        <v/>
      </c>
      <c r="J52" s="573">
        <f>0.8*E52</f>
        <v/>
      </c>
      <c r="K52" s="574">
        <f>1*E52</f>
        <v/>
      </c>
      <c r="L52" s="575" t="inlineStr">
        <is>
          <t>F</t>
        </is>
      </c>
      <c r="M52" s="576" t="n"/>
      <c r="N52" s="577">
        <f>F52</f>
        <v/>
      </c>
      <c r="O52" s="578">
        <f>G52</f>
        <v/>
      </c>
      <c r="P52" s="579">
        <f>H52</f>
        <v/>
      </c>
      <c r="Q52" s="579">
        <f>I52</f>
        <v/>
      </c>
      <c r="R52" s="578">
        <f>J52</f>
        <v/>
      </c>
      <c r="S52" s="580">
        <f>K52</f>
        <v/>
      </c>
      <c r="T52" s="581" t="inlineStr">
        <is>
          <t>V</t>
        </is>
      </c>
      <c r="U52" s="582">
        <f>0.002*(E52-D52)</f>
        <v/>
      </c>
      <c r="V52" s="157" t="n"/>
    </row>
    <row r="53" ht="15" customFormat="1" customHeight="1" s="383" thickBot="1">
      <c r="A53" s="154" t="n"/>
      <c r="B53" s="505" t="n"/>
      <c r="C53" s="505" t="n"/>
      <c r="D53" s="505" t="n"/>
      <c r="E53" s="506" t="n"/>
      <c r="F53" s="583" t="n"/>
      <c r="G53" s="584" t="n"/>
      <c r="H53" s="584" t="n"/>
      <c r="I53" s="584" t="n"/>
      <c r="J53" s="585" t="n"/>
      <c r="K53" s="586" t="n"/>
      <c r="L53" s="505" t="n"/>
      <c r="M53" s="505" t="n"/>
      <c r="N53" s="583" t="n"/>
      <c r="O53" s="585" t="n"/>
      <c r="P53" s="585" t="n"/>
      <c r="Q53" s="585" t="n"/>
      <c r="R53" s="585" t="n"/>
      <c r="S53" s="586" t="n"/>
      <c r="T53" s="505" t="n"/>
      <c r="U53" s="507" t="n"/>
      <c r="V53" s="157" t="n"/>
    </row>
    <row r="54" ht="15" customFormat="1" customHeight="1" s="383" thickBot="1">
      <c r="A54" s="154" t="n"/>
      <c r="B54" s="411" t="inlineStr">
        <is>
          <t>907 AI Flow Mod A</t>
        </is>
      </c>
      <c r="C54" s="564" t="n"/>
      <c r="D54" s="564" t="n"/>
      <c r="E54" s="571" t="n"/>
      <c r="F54" s="572">
        <f>0*E54</f>
        <v/>
      </c>
      <c r="G54" s="573">
        <f>0.2*E54</f>
        <v/>
      </c>
      <c r="H54" s="573">
        <f>0.4*E54</f>
        <v/>
      </c>
      <c r="I54" s="573">
        <f>0.6*E54</f>
        <v/>
      </c>
      <c r="J54" s="573">
        <f>0.8*E54</f>
        <v/>
      </c>
      <c r="K54" s="574">
        <f>1*E54</f>
        <v/>
      </c>
      <c r="L54" s="575" t="inlineStr">
        <is>
          <t>F</t>
        </is>
      </c>
      <c r="M54" s="576" t="n"/>
      <c r="N54" s="577">
        <f>F54</f>
        <v/>
      </c>
      <c r="O54" s="578">
        <f>G54</f>
        <v/>
      </c>
      <c r="P54" s="579">
        <f>H54</f>
        <v/>
      </c>
      <c r="Q54" s="579">
        <f>I54</f>
        <v/>
      </c>
      <c r="R54" s="578">
        <f>J54</f>
        <v/>
      </c>
      <c r="S54" s="580">
        <f>K54</f>
        <v/>
      </c>
      <c r="T54" s="581" t="inlineStr">
        <is>
          <t>V</t>
        </is>
      </c>
      <c r="U54" s="582">
        <f>0.002*(E54-D54)</f>
        <v/>
      </c>
      <c r="V54" s="157" t="n"/>
    </row>
    <row r="55" ht="15" customFormat="1" customHeight="1" s="383" thickBot="1">
      <c r="A55" s="154" t="n"/>
      <c r="B55" s="505" t="n"/>
      <c r="C55" s="505" t="n"/>
      <c r="D55" s="505" t="n"/>
      <c r="E55" s="506" t="n"/>
      <c r="F55" s="583" t="n"/>
      <c r="G55" s="584" t="n"/>
      <c r="H55" s="584" t="n"/>
      <c r="I55" s="584" t="n"/>
      <c r="J55" s="585" t="n"/>
      <c r="K55" s="586" t="n"/>
      <c r="L55" s="505" t="n"/>
      <c r="M55" s="505" t="n"/>
      <c r="N55" s="583" t="n"/>
      <c r="O55" s="585" t="n"/>
      <c r="P55" s="585" t="n"/>
      <c r="Q55" s="585" t="n"/>
      <c r="R55" s="585" t="n"/>
      <c r="S55" s="586" t="n"/>
      <c r="T55" s="505" t="n"/>
      <c r="U55" s="507" t="n"/>
      <c r="V55" s="157" t="n"/>
    </row>
    <row r="56" ht="15" customFormat="1" customHeight="1" s="383" thickBot="1">
      <c r="A56" s="154" t="n"/>
      <c r="B56" s="411" t="inlineStr">
        <is>
          <t>908 AI Flow Mod B</t>
        </is>
      </c>
      <c r="C56" s="564" t="n"/>
      <c r="D56" s="564" t="n"/>
      <c r="E56" s="571" t="n"/>
      <c r="F56" s="572">
        <f>0*E56</f>
        <v/>
      </c>
      <c r="G56" s="573">
        <f>0.2*E56</f>
        <v/>
      </c>
      <c r="H56" s="573">
        <f>0.4*E56</f>
        <v/>
      </c>
      <c r="I56" s="573">
        <f>0.6*E56</f>
        <v/>
      </c>
      <c r="J56" s="573">
        <f>0.8*E56</f>
        <v/>
      </c>
      <c r="K56" s="574">
        <f>1*E56</f>
        <v/>
      </c>
      <c r="L56" s="575" t="inlineStr">
        <is>
          <t>F</t>
        </is>
      </c>
      <c r="M56" s="576" t="n"/>
      <c r="N56" s="577">
        <f>F56</f>
        <v/>
      </c>
      <c r="O56" s="578">
        <f>G56</f>
        <v/>
      </c>
      <c r="P56" s="579">
        <f>H56</f>
        <v/>
      </c>
      <c r="Q56" s="579">
        <f>I56</f>
        <v/>
      </c>
      <c r="R56" s="578">
        <f>J56</f>
        <v/>
      </c>
      <c r="S56" s="580">
        <f>K56</f>
        <v/>
      </c>
      <c r="T56" s="581" t="inlineStr">
        <is>
          <t>V</t>
        </is>
      </c>
      <c r="U56" s="582">
        <f>0.002*(E56-D56)</f>
        <v/>
      </c>
      <c r="V56" s="157" t="n"/>
    </row>
    <row r="57" ht="15" customFormat="1" customHeight="1" s="383" thickBot="1">
      <c r="A57" s="154" t="n"/>
      <c r="B57" s="505" t="n"/>
      <c r="C57" s="505" t="n"/>
      <c r="D57" s="505" t="n"/>
      <c r="E57" s="506" t="n"/>
      <c r="F57" s="583" t="n"/>
      <c r="G57" s="584" t="n"/>
      <c r="H57" s="584" t="n"/>
      <c r="I57" s="584" t="n"/>
      <c r="J57" s="585" t="n"/>
      <c r="K57" s="586" t="n"/>
      <c r="L57" s="505" t="n"/>
      <c r="M57" s="505" t="n"/>
      <c r="N57" s="583" t="n"/>
      <c r="O57" s="585" t="n"/>
      <c r="P57" s="585" t="n"/>
      <c r="Q57" s="585" t="n"/>
      <c r="R57" s="585" t="n"/>
      <c r="S57" s="586" t="n"/>
      <c r="T57" s="505" t="n"/>
      <c r="U57" s="507" t="n"/>
      <c r="V57" s="157" t="n"/>
    </row>
    <row r="58" ht="15" customFormat="1" customHeight="1" s="383" thickBot="1">
      <c r="A58" s="154" t="n"/>
      <c r="B58" s="411" t="inlineStr">
        <is>
          <t>1801 AI Blowby</t>
        </is>
      </c>
      <c r="C58" s="564" t="n"/>
      <c r="D58" s="564" t="n">
        <v>0</v>
      </c>
      <c r="E58" s="571" t="n">
        <v>10</v>
      </c>
      <c r="F58" s="572">
        <f>0*E58</f>
        <v/>
      </c>
      <c r="G58" s="573">
        <f>0.2*E58</f>
        <v/>
      </c>
      <c r="H58" s="573">
        <f>0.4*E58</f>
        <v/>
      </c>
      <c r="I58" s="573">
        <f>0.6*E58</f>
        <v/>
      </c>
      <c r="J58" s="573">
        <f>0.8*E58</f>
        <v/>
      </c>
      <c r="K58" s="574">
        <f>1*E58</f>
        <v/>
      </c>
      <c r="L58" s="575" t="inlineStr">
        <is>
          <t>F</t>
        </is>
      </c>
      <c r="M58" s="576" t="n"/>
      <c r="N58" s="577">
        <f>F58</f>
        <v/>
      </c>
      <c r="O58" s="578">
        <f>G58</f>
        <v/>
      </c>
      <c r="P58" s="579">
        <f>H58</f>
        <v/>
      </c>
      <c r="Q58" s="579">
        <f>I58</f>
        <v/>
      </c>
      <c r="R58" s="578">
        <f>J58</f>
        <v/>
      </c>
      <c r="S58" s="580">
        <f>K58</f>
        <v/>
      </c>
      <c r="T58" s="581" t="inlineStr">
        <is>
          <t>V</t>
        </is>
      </c>
      <c r="U58" s="582">
        <f>0.002*(E58-D58)</f>
        <v/>
      </c>
      <c r="V58" s="157" t="n"/>
    </row>
    <row r="59" ht="15" customFormat="1" customHeight="1" s="383" thickBot="1">
      <c r="A59" s="154" t="n"/>
      <c r="B59" s="505" t="n"/>
      <c r="C59" s="505" t="n"/>
      <c r="D59" s="505" t="n"/>
      <c r="E59" s="506" t="n"/>
      <c r="F59" s="583" t="n"/>
      <c r="G59" s="584" t="n"/>
      <c r="H59" s="584" t="n"/>
      <c r="I59" s="584" t="n"/>
      <c r="J59" s="585" t="n"/>
      <c r="K59" s="586" t="n"/>
      <c r="L59" s="505" t="n"/>
      <c r="M59" s="505" t="n"/>
      <c r="N59" s="583" t="n"/>
      <c r="O59" s="585" t="n"/>
      <c r="P59" s="585" t="n"/>
      <c r="Q59" s="585" t="n"/>
      <c r="R59" s="585" t="n"/>
      <c r="S59" s="586" t="n"/>
      <c r="T59" s="505" t="n"/>
      <c r="U59" s="507" t="n"/>
      <c r="V59" s="157" t="n"/>
    </row>
    <row r="60" ht="15" customFormat="1" customHeight="1" s="383" thickBot="1">
      <c r="A60" s="154" t="n"/>
      <c r="B60" s="411" t="inlineStr">
        <is>
          <t>1802 AI</t>
        </is>
      </c>
      <c r="C60" s="564" t="n"/>
      <c r="D60" s="564" t="n">
        <v>0</v>
      </c>
      <c r="E60" s="571" t="n">
        <v>10</v>
      </c>
      <c r="F60" s="572">
        <f>0*E60</f>
        <v/>
      </c>
      <c r="G60" s="573">
        <f>0.2*E60</f>
        <v/>
      </c>
      <c r="H60" s="573">
        <f>0.4*E60</f>
        <v/>
      </c>
      <c r="I60" s="573">
        <f>0.6*E60</f>
        <v/>
      </c>
      <c r="J60" s="573">
        <f>0.8*E60</f>
        <v/>
      </c>
      <c r="K60" s="574">
        <f>1*E60</f>
        <v/>
      </c>
      <c r="L60" s="575" t="inlineStr">
        <is>
          <t>F</t>
        </is>
      </c>
      <c r="M60" s="576" t="n"/>
      <c r="N60" s="577">
        <f>F60</f>
        <v/>
      </c>
      <c r="O60" s="578">
        <f>G60</f>
        <v/>
      </c>
      <c r="P60" s="579">
        <f>H60</f>
        <v/>
      </c>
      <c r="Q60" s="579">
        <f>I60</f>
        <v/>
      </c>
      <c r="R60" s="578">
        <f>J60</f>
        <v/>
      </c>
      <c r="S60" s="580">
        <f>K60</f>
        <v/>
      </c>
      <c r="T60" s="581" t="inlineStr">
        <is>
          <t>V</t>
        </is>
      </c>
      <c r="U60" s="582">
        <f>0.002*(E60-D60)</f>
        <v/>
      </c>
      <c r="V60" s="157" t="n"/>
    </row>
    <row r="61" ht="15" customFormat="1" customHeight="1" s="383" thickBot="1">
      <c r="A61" s="154" t="n"/>
      <c r="B61" s="505" t="n"/>
      <c r="C61" s="505" t="n"/>
      <c r="D61" s="505" t="n"/>
      <c r="E61" s="506" t="n"/>
      <c r="F61" s="583" t="n"/>
      <c r="G61" s="584" t="n"/>
      <c r="H61" s="584" t="n"/>
      <c r="I61" s="584" t="n"/>
      <c r="J61" s="585" t="n"/>
      <c r="K61" s="586" t="n"/>
      <c r="L61" s="505" t="n"/>
      <c r="M61" s="505" t="n"/>
      <c r="N61" s="583" t="n"/>
      <c r="O61" s="585" t="n"/>
      <c r="P61" s="585" t="n"/>
      <c r="Q61" s="585" t="n"/>
      <c r="R61" s="585" t="n"/>
      <c r="S61" s="586" t="n"/>
      <c r="T61" s="505" t="n"/>
      <c r="U61" s="507" t="n"/>
      <c r="V61" s="157" t="n"/>
    </row>
    <row r="62" ht="15" customFormat="1" customHeight="1" s="383" thickBot="1">
      <c r="A62" s="154" t="n"/>
      <c r="B62" s="411" t="inlineStr">
        <is>
          <t>1803 AI</t>
        </is>
      </c>
      <c r="C62" s="564" t="n"/>
      <c r="D62" s="564" t="n">
        <v>0</v>
      </c>
      <c r="E62" s="571" t="n">
        <v>10</v>
      </c>
      <c r="F62" s="572">
        <f>0*E62</f>
        <v/>
      </c>
      <c r="G62" s="573">
        <f>0.2*E62</f>
        <v/>
      </c>
      <c r="H62" s="573">
        <f>0.4*E62</f>
        <v/>
      </c>
      <c r="I62" s="573">
        <f>0.6*E62</f>
        <v/>
      </c>
      <c r="J62" s="573">
        <f>0.8*E62</f>
        <v/>
      </c>
      <c r="K62" s="574">
        <f>1*E62</f>
        <v/>
      </c>
      <c r="L62" s="575" t="inlineStr">
        <is>
          <t>F</t>
        </is>
      </c>
      <c r="M62" s="576" t="n"/>
      <c r="N62" s="577">
        <f>F62</f>
        <v/>
      </c>
      <c r="O62" s="578">
        <f>G62</f>
        <v/>
      </c>
      <c r="P62" s="579">
        <f>H62</f>
        <v/>
      </c>
      <c r="Q62" s="579">
        <f>I62</f>
        <v/>
      </c>
      <c r="R62" s="578">
        <f>J62</f>
        <v/>
      </c>
      <c r="S62" s="580">
        <f>K62</f>
        <v/>
      </c>
      <c r="T62" s="581" t="inlineStr">
        <is>
          <t>V</t>
        </is>
      </c>
      <c r="U62" s="582">
        <f>0.002*(E62-D62)</f>
        <v/>
      </c>
      <c r="V62" s="157" t="n"/>
    </row>
    <row r="63" ht="15" customFormat="1" customHeight="1" s="383" thickBot="1">
      <c r="A63" s="154" t="n"/>
      <c r="B63" s="505" t="n"/>
      <c r="C63" s="505" t="n"/>
      <c r="D63" s="505" t="n"/>
      <c r="E63" s="506" t="n"/>
      <c r="F63" s="583" t="n"/>
      <c r="G63" s="584" t="n"/>
      <c r="H63" s="584" t="n"/>
      <c r="I63" s="584" t="n"/>
      <c r="J63" s="585" t="n"/>
      <c r="K63" s="586" t="n"/>
      <c r="L63" s="505" t="n"/>
      <c r="M63" s="505" t="n"/>
      <c r="N63" s="583" t="n"/>
      <c r="O63" s="585" t="n"/>
      <c r="P63" s="585" t="n"/>
      <c r="Q63" s="585" t="n"/>
      <c r="R63" s="585" t="n"/>
      <c r="S63" s="586" t="n"/>
      <c r="T63" s="505" t="n"/>
      <c r="U63" s="507" t="n"/>
      <c r="V63" s="157" t="n"/>
    </row>
    <row r="64" ht="15" customFormat="1" customHeight="1" s="383" thickBot="1">
      <c r="A64" s="154" t="n"/>
      <c r="B64" s="411" t="inlineStr">
        <is>
          <t>1804 AI</t>
        </is>
      </c>
      <c r="C64" s="564" t="n"/>
      <c r="D64" s="564" t="n">
        <v>0</v>
      </c>
      <c r="E64" s="571" t="n">
        <v>10</v>
      </c>
      <c r="F64" s="572">
        <f>0*E64</f>
        <v/>
      </c>
      <c r="G64" s="573">
        <f>0.2*E64</f>
        <v/>
      </c>
      <c r="H64" s="573">
        <f>0.4*E64</f>
        <v/>
      </c>
      <c r="I64" s="573">
        <f>0.6*E64</f>
        <v/>
      </c>
      <c r="J64" s="573">
        <f>0.8*E64</f>
        <v/>
      </c>
      <c r="K64" s="574">
        <f>1*E64</f>
        <v/>
      </c>
      <c r="L64" s="575" t="inlineStr">
        <is>
          <t>F</t>
        </is>
      </c>
      <c r="M64" s="576" t="n"/>
      <c r="N64" s="577">
        <f>F64</f>
        <v/>
      </c>
      <c r="O64" s="578">
        <f>G64</f>
        <v/>
      </c>
      <c r="P64" s="579">
        <f>H64</f>
        <v/>
      </c>
      <c r="Q64" s="579">
        <f>I64</f>
        <v/>
      </c>
      <c r="R64" s="578">
        <f>J64</f>
        <v/>
      </c>
      <c r="S64" s="580">
        <f>K64</f>
        <v/>
      </c>
      <c r="T64" s="581" t="inlineStr">
        <is>
          <t>V</t>
        </is>
      </c>
      <c r="U64" s="582">
        <f>0.002*(E64-D64)</f>
        <v/>
      </c>
      <c r="V64" s="157" t="n"/>
    </row>
    <row r="65" ht="15" customFormat="1" customHeight="1" s="383" thickBot="1">
      <c r="A65" s="154" t="n"/>
      <c r="B65" s="505" t="n"/>
      <c r="C65" s="505" t="n"/>
      <c r="D65" s="505" t="n"/>
      <c r="E65" s="506" t="n"/>
      <c r="F65" s="583" t="n"/>
      <c r="G65" s="584" t="n"/>
      <c r="H65" s="584" t="n"/>
      <c r="I65" s="584" t="n"/>
      <c r="J65" s="585" t="n"/>
      <c r="K65" s="586" t="n"/>
      <c r="L65" s="505" t="n"/>
      <c r="M65" s="505" t="n"/>
      <c r="N65" s="583" t="n"/>
      <c r="O65" s="585" t="n"/>
      <c r="P65" s="585" t="n"/>
      <c r="Q65" s="585" t="n"/>
      <c r="R65" s="585" t="n"/>
      <c r="S65" s="586" t="n"/>
      <c r="T65" s="505" t="n"/>
      <c r="U65" s="507" t="n"/>
      <c r="V65" s="157" t="n"/>
    </row>
    <row r="66" ht="15" customFormat="1" customHeight="1" s="383" thickBot="1">
      <c r="A66" s="154" t="n"/>
      <c r="B66" s="411" t="inlineStr">
        <is>
          <t>1805 AI</t>
        </is>
      </c>
      <c r="C66" s="564" t="n"/>
      <c r="D66" s="564" t="n">
        <v>0</v>
      </c>
      <c r="E66" s="571" t="n">
        <v>10</v>
      </c>
      <c r="F66" s="572">
        <f>0*E66</f>
        <v/>
      </c>
      <c r="G66" s="573">
        <f>0.2*E66</f>
        <v/>
      </c>
      <c r="H66" s="573">
        <f>0.4*E66</f>
        <v/>
      </c>
      <c r="I66" s="573">
        <f>0.6*E66</f>
        <v/>
      </c>
      <c r="J66" s="573">
        <f>0.8*E66</f>
        <v/>
      </c>
      <c r="K66" s="574">
        <f>1*E66</f>
        <v/>
      </c>
      <c r="L66" s="575" t="inlineStr">
        <is>
          <t>F</t>
        </is>
      </c>
      <c r="M66" s="576" t="n"/>
      <c r="N66" s="577">
        <f>F66</f>
        <v/>
      </c>
      <c r="O66" s="578">
        <f>G66</f>
        <v/>
      </c>
      <c r="P66" s="579">
        <f>H66</f>
        <v/>
      </c>
      <c r="Q66" s="579">
        <f>I66</f>
        <v/>
      </c>
      <c r="R66" s="578">
        <f>J66</f>
        <v/>
      </c>
      <c r="S66" s="580">
        <f>K66</f>
        <v/>
      </c>
      <c r="T66" s="581" t="inlineStr">
        <is>
          <t>V</t>
        </is>
      </c>
      <c r="U66" s="582">
        <f>0.002*(E66-D66)</f>
        <v/>
      </c>
      <c r="V66" s="157" t="n"/>
    </row>
    <row r="67" ht="15" customFormat="1" customHeight="1" s="383" thickBot="1">
      <c r="A67" s="154" t="n"/>
      <c r="B67" s="505" t="n"/>
      <c r="C67" s="505" t="n"/>
      <c r="D67" s="505" t="n"/>
      <c r="E67" s="506" t="n"/>
      <c r="F67" s="583" t="n"/>
      <c r="G67" s="584" t="n"/>
      <c r="H67" s="584" t="n"/>
      <c r="I67" s="584" t="n"/>
      <c r="J67" s="585" t="n"/>
      <c r="K67" s="586" t="n"/>
      <c r="L67" s="505" t="n"/>
      <c r="M67" s="505" t="n"/>
      <c r="N67" s="583" t="n"/>
      <c r="O67" s="585" t="n"/>
      <c r="P67" s="585" t="n"/>
      <c r="Q67" s="585" t="n"/>
      <c r="R67" s="585" t="n"/>
      <c r="S67" s="586" t="n"/>
      <c r="T67" s="505" t="n"/>
      <c r="U67" s="507" t="n"/>
      <c r="V67" s="157" t="n"/>
    </row>
    <row r="68" ht="15" customFormat="1" customHeight="1" s="383" thickBot="1">
      <c r="A68" s="154" t="n"/>
      <c r="B68" s="411" t="inlineStr">
        <is>
          <t>1806 AI Turbo Spd 2</t>
        </is>
      </c>
      <c r="C68" s="564" t="n"/>
      <c r="D68" s="564" t="n">
        <v>0</v>
      </c>
      <c r="E68" s="571" t="n">
        <v>10</v>
      </c>
      <c r="F68" s="572">
        <f>0*E68</f>
        <v/>
      </c>
      <c r="G68" s="573">
        <f>0.2*E68</f>
        <v/>
      </c>
      <c r="H68" s="573">
        <f>0.4*E68</f>
        <v/>
      </c>
      <c r="I68" s="573">
        <f>0.6*E68</f>
        <v/>
      </c>
      <c r="J68" s="573">
        <f>0.8*E68</f>
        <v/>
      </c>
      <c r="K68" s="574">
        <f>1*E68</f>
        <v/>
      </c>
      <c r="L68" s="575" t="inlineStr">
        <is>
          <t>P</t>
        </is>
      </c>
      <c r="M68" s="576" t="n"/>
      <c r="N68" s="577">
        <f>F68</f>
        <v/>
      </c>
      <c r="O68" s="578">
        <f>G68</f>
        <v/>
      </c>
      <c r="P68" s="579">
        <f>H68</f>
        <v/>
      </c>
      <c r="Q68" s="579">
        <f>I68</f>
        <v/>
      </c>
      <c r="R68" s="578">
        <f>J68</f>
        <v/>
      </c>
      <c r="S68" s="580">
        <f>K68</f>
        <v/>
      </c>
      <c r="T68" s="581" t="inlineStr">
        <is>
          <t>V</t>
        </is>
      </c>
      <c r="U68" s="582">
        <f>0.002*(E68-D68)</f>
        <v/>
      </c>
      <c r="V68" s="157" t="n"/>
    </row>
    <row r="69" ht="15" customFormat="1" customHeight="1" s="383" thickBot="1">
      <c r="A69" s="154" t="n"/>
      <c r="B69" s="505" t="n"/>
      <c r="C69" s="505" t="n"/>
      <c r="D69" s="505" t="n"/>
      <c r="E69" s="506" t="n"/>
      <c r="F69" s="583" t="n">
        <v>0</v>
      </c>
      <c r="G69" s="584" t="n">
        <v>2.001</v>
      </c>
      <c r="H69" s="584" t="n">
        <v>4.007</v>
      </c>
      <c r="I69" s="584" t="n">
        <v>6.006</v>
      </c>
      <c r="J69" s="585" t="n">
        <v>8.007</v>
      </c>
      <c r="K69" s="586" t="n">
        <v>10</v>
      </c>
      <c r="L69" s="505" t="n"/>
      <c r="M69" s="505" t="n"/>
      <c r="N69" s="583" t="n"/>
      <c r="O69" s="585" t="n"/>
      <c r="P69" s="585" t="n"/>
      <c r="Q69" s="585" t="n"/>
      <c r="R69" s="585" t="n"/>
      <c r="S69" s="586" t="n"/>
      <c r="T69" s="505" t="n"/>
      <c r="U69" s="507" t="n"/>
      <c r="V69" s="157" t="n"/>
    </row>
    <row r="70" ht="15" customFormat="1" customHeight="1" s="383" thickBot="1">
      <c r="A70" s="154" t="n"/>
      <c r="B70" s="411" t="inlineStr">
        <is>
          <t>1807 AI Turbo Spd 2</t>
        </is>
      </c>
      <c r="C70" s="564" t="n"/>
      <c r="D70" s="564" t="n">
        <v>0</v>
      </c>
      <c r="E70" s="571" t="n">
        <v>10</v>
      </c>
      <c r="F70" s="572">
        <f>0*E70</f>
        <v/>
      </c>
      <c r="G70" s="573">
        <f>0.2*E70</f>
        <v/>
      </c>
      <c r="H70" s="573">
        <f>0.4*E70</f>
        <v/>
      </c>
      <c r="I70" s="573">
        <f>0.6*E70</f>
        <v/>
      </c>
      <c r="J70" s="573">
        <f>0.8*E70</f>
        <v/>
      </c>
      <c r="K70" s="574">
        <f>1*E70</f>
        <v/>
      </c>
      <c r="L70" s="575" t="inlineStr">
        <is>
          <t>P</t>
        </is>
      </c>
      <c r="M70" s="576" t="n"/>
      <c r="N70" s="577">
        <f>F70</f>
        <v/>
      </c>
      <c r="O70" s="578">
        <f>G70</f>
        <v/>
      </c>
      <c r="P70" s="579">
        <f>H70</f>
        <v/>
      </c>
      <c r="Q70" s="579">
        <f>I70</f>
        <v/>
      </c>
      <c r="R70" s="578">
        <f>J70</f>
        <v/>
      </c>
      <c r="S70" s="580">
        <f>K70</f>
        <v/>
      </c>
      <c r="T70" s="581" t="inlineStr">
        <is>
          <t>V</t>
        </is>
      </c>
      <c r="U70" s="582">
        <f>0.002*(E70-D70)</f>
        <v/>
      </c>
      <c r="V70" s="157" t="n"/>
    </row>
    <row r="71" ht="15" customFormat="1" customHeight="1" s="383" thickBot="1">
      <c r="A71" s="154" t="n"/>
      <c r="B71" s="505" t="n"/>
      <c r="C71" s="505" t="n"/>
      <c r="D71" s="505" t="n"/>
      <c r="E71" s="506" t="n"/>
      <c r="F71" s="583" t="n">
        <v>0.003</v>
      </c>
      <c r="G71" s="584" t="n">
        <v>2.005</v>
      </c>
      <c r="H71" s="584" t="n">
        <v>4.004</v>
      </c>
      <c r="I71" s="584" t="n">
        <v>6.005</v>
      </c>
      <c r="J71" s="585" t="n">
        <v>8.007</v>
      </c>
      <c r="K71" s="586" t="n">
        <v>10.001</v>
      </c>
      <c r="L71" s="505" t="n"/>
      <c r="M71" s="505" t="n"/>
      <c r="N71" s="583" t="n"/>
      <c r="O71" s="585" t="n"/>
      <c r="P71" s="585" t="n"/>
      <c r="Q71" s="585" t="n"/>
      <c r="R71" s="585" t="n"/>
      <c r="S71" s="586" t="n"/>
      <c r="T71" s="505" t="n"/>
      <c r="U71" s="507" t="n"/>
      <c r="V71" s="157" t="n"/>
    </row>
    <row r="72" ht="15" customFormat="1" customHeight="1" s="383" thickBot="1">
      <c r="A72" s="154" t="n"/>
      <c r="B72" s="411" t="inlineStr">
        <is>
          <t>1808 AI Turbo Spd 2</t>
        </is>
      </c>
      <c r="C72" s="564" t="n"/>
      <c r="D72" s="564" t="n">
        <v>0</v>
      </c>
      <c r="E72" s="571" t="n">
        <v>10</v>
      </c>
      <c r="F72" s="572">
        <f>0*E72</f>
        <v/>
      </c>
      <c r="G72" s="573">
        <f>0.2*E72</f>
        <v/>
      </c>
      <c r="H72" s="573">
        <f>0.4*E72</f>
        <v/>
      </c>
      <c r="I72" s="573">
        <f>0.6*E72</f>
        <v/>
      </c>
      <c r="J72" s="573">
        <f>0.8*E72</f>
        <v/>
      </c>
      <c r="K72" s="574">
        <f>1*E72</f>
        <v/>
      </c>
      <c r="L72" s="575" t="inlineStr">
        <is>
          <t>F</t>
        </is>
      </c>
      <c r="M72" s="576" t="n"/>
      <c r="N72" s="577">
        <f>F72</f>
        <v/>
      </c>
      <c r="O72" s="578">
        <f>G72</f>
        <v/>
      </c>
      <c r="P72" s="579">
        <f>H72</f>
        <v/>
      </c>
      <c r="Q72" s="579">
        <f>I72</f>
        <v/>
      </c>
      <c r="R72" s="578">
        <f>J72</f>
        <v/>
      </c>
      <c r="S72" s="580">
        <f>K72</f>
        <v/>
      </c>
      <c r="T72" s="581" t="inlineStr">
        <is>
          <t>V</t>
        </is>
      </c>
      <c r="U72" s="582">
        <f>0.002*(E72-D72)</f>
        <v/>
      </c>
      <c r="V72" s="157" t="n"/>
    </row>
    <row r="73" ht="15" customFormat="1" customHeight="1" s="383" thickBot="1">
      <c r="A73" s="154" t="n"/>
      <c r="B73" s="505" t="n"/>
      <c r="C73" s="505" t="n"/>
      <c r="D73" s="505" t="n"/>
      <c r="E73" s="506" t="n"/>
      <c r="F73" s="583" t="n">
        <v>0</v>
      </c>
      <c r="G73" s="584" t="n">
        <v>0</v>
      </c>
      <c r="H73" s="584" t="n">
        <v>0</v>
      </c>
      <c r="I73" s="584" t="n">
        <v>0</v>
      </c>
      <c r="J73" s="585" t="n">
        <v>0</v>
      </c>
      <c r="K73" s="586" t="n">
        <v>0</v>
      </c>
      <c r="L73" s="505" t="n"/>
      <c r="M73" s="505" t="n"/>
      <c r="N73" s="583" t="n"/>
      <c r="O73" s="585" t="n"/>
      <c r="P73" s="585" t="n"/>
      <c r="Q73" s="585" t="n"/>
      <c r="R73" s="585" t="n"/>
      <c r="S73" s="586" t="n"/>
      <c r="T73" s="505" t="n"/>
      <c r="U73" s="507" t="n"/>
      <c r="V73" s="157" t="n"/>
    </row>
    <row r="74" ht="15" customFormat="1" customHeight="1" s="383" thickBot="1">
      <c r="A74" s="154" t="n"/>
      <c r="B74" s="411" t="n">
        <v>1901</v>
      </c>
      <c r="C74" s="564" t="n"/>
      <c r="D74" s="564" t="n">
        <v>0</v>
      </c>
      <c r="E74" s="571" t="n">
        <v>10</v>
      </c>
      <c r="F74" s="572">
        <f>0*E74</f>
        <v/>
      </c>
      <c r="G74" s="573">
        <f>0.2*E74</f>
        <v/>
      </c>
      <c r="H74" s="573">
        <f>0.4*E74</f>
        <v/>
      </c>
      <c r="I74" s="573">
        <f>0.6*E74</f>
        <v/>
      </c>
      <c r="J74" s="573">
        <f>0.8*E74</f>
        <v/>
      </c>
      <c r="K74" s="574">
        <f>1*E74</f>
        <v/>
      </c>
      <c r="L74" s="575" t="inlineStr">
        <is>
          <t>F</t>
        </is>
      </c>
      <c r="M74" s="576" t="n"/>
      <c r="N74" s="577">
        <f>F74</f>
        <v/>
      </c>
      <c r="O74" s="578">
        <f>G74</f>
        <v/>
      </c>
      <c r="P74" s="579">
        <f>H74</f>
        <v/>
      </c>
      <c r="Q74" s="579">
        <f>I74</f>
        <v/>
      </c>
      <c r="R74" s="578">
        <f>J74</f>
        <v/>
      </c>
      <c r="S74" s="580">
        <f>K74</f>
        <v/>
      </c>
      <c r="T74" s="581" t="inlineStr">
        <is>
          <t>V</t>
        </is>
      </c>
      <c r="U74" s="582">
        <f>0.002*(E74-D74)</f>
        <v/>
      </c>
      <c r="V74" s="157" t="n"/>
    </row>
    <row r="75" ht="15" customFormat="1" customHeight="1" s="383" thickBot="1">
      <c r="A75" s="154" t="n"/>
      <c r="B75" s="505" t="n"/>
      <c r="C75" s="505" t="n"/>
      <c r="D75" s="505" t="n"/>
      <c r="E75" s="506" t="n"/>
      <c r="F75" s="583" t="n">
        <v>0.78</v>
      </c>
      <c r="G75" s="584" t="n">
        <v>1.086</v>
      </c>
      <c r="H75" s="584" t="n">
        <v>0.966</v>
      </c>
      <c r="I75" s="585" t="inlineStr">
        <is>
          <t>-</t>
        </is>
      </c>
      <c r="J75" s="585" t="inlineStr">
        <is>
          <t>-</t>
        </is>
      </c>
      <c r="K75" s="586" t="inlineStr">
        <is>
          <t>-</t>
        </is>
      </c>
      <c r="L75" s="505" t="n"/>
      <c r="M75" s="505" t="n"/>
      <c r="N75" s="583" t="n"/>
      <c r="O75" s="585" t="n"/>
      <c r="P75" s="585" t="n"/>
      <c r="Q75" s="585" t="n"/>
      <c r="R75" s="585" t="n"/>
      <c r="S75" s="586" t="n"/>
      <c r="T75" s="505" t="n"/>
      <c r="U75" s="507" t="n"/>
      <c r="V75" s="157" t="n"/>
    </row>
    <row r="76" ht="15" customFormat="1" customHeight="1" s="383" thickBot="1">
      <c r="A76" s="154" t="n"/>
      <c r="B76" s="411" t="n">
        <v>1902</v>
      </c>
      <c r="C76" s="564" t="n"/>
      <c r="D76" s="564" t="n">
        <v>0</v>
      </c>
      <c r="E76" s="571" t="n">
        <v>10</v>
      </c>
      <c r="F76" s="572">
        <f>0*E76</f>
        <v/>
      </c>
      <c r="G76" s="573">
        <f>0.2*E76</f>
        <v/>
      </c>
      <c r="H76" s="573">
        <f>0.4*E76</f>
        <v/>
      </c>
      <c r="I76" s="573">
        <f>0.6*E76</f>
        <v/>
      </c>
      <c r="J76" s="573">
        <f>0.8*E76</f>
        <v/>
      </c>
      <c r="K76" s="574">
        <f>1*E76</f>
        <v/>
      </c>
      <c r="L76" s="575" t="inlineStr">
        <is>
          <t>P</t>
        </is>
      </c>
      <c r="M76" s="576" t="n"/>
      <c r="N76" s="577">
        <f>F76</f>
        <v/>
      </c>
      <c r="O76" s="578">
        <f>G76</f>
        <v/>
      </c>
      <c r="P76" s="579">
        <f>H76</f>
        <v/>
      </c>
      <c r="Q76" s="579">
        <f>I76</f>
        <v/>
      </c>
      <c r="R76" s="578">
        <f>J76</f>
        <v/>
      </c>
      <c r="S76" s="580">
        <f>K76</f>
        <v/>
      </c>
      <c r="T76" s="581" t="inlineStr">
        <is>
          <t>V</t>
        </is>
      </c>
      <c r="U76" s="582">
        <f>0.002*(E76-D76)</f>
        <v/>
      </c>
      <c r="V76" s="157" t="n"/>
    </row>
    <row r="77" ht="15" customFormat="1" customHeight="1" s="383" thickBot="1">
      <c r="A77" s="154" t="n"/>
      <c r="B77" s="505" t="n"/>
      <c r="C77" s="505" t="n"/>
      <c r="D77" s="505" t="n"/>
      <c r="E77" s="506" t="n"/>
      <c r="F77" s="583" t="n">
        <v>0</v>
      </c>
      <c r="G77" s="584" t="n">
        <v>2.003</v>
      </c>
      <c r="H77" s="584" t="n">
        <v>4.006</v>
      </c>
      <c r="I77" s="584" t="n">
        <v>6.001</v>
      </c>
      <c r="J77" s="585" t="n">
        <v>8.018000000000001</v>
      </c>
      <c r="K77" s="586" t="n">
        <v>10</v>
      </c>
      <c r="L77" s="505" t="n"/>
      <c r="M77" s="505" t="n"/>
      <c r="N77" s="583" t="n"/>
      <c r="O77" s="585" t="n"/>
      <c r="P77" s="585" t="n"/>
      <c r="Q77" s="585" t="n"/>
      <c r="R77" s="585" t="n"/>
      <c r="S77" s="586" t="n"/>
      <c r="T77" s="505" t="n"/>
      <c r="U77" s="507" t="n"/>
      <c r="V77" s="157" t="n"/>
    </row>
    <row r="78" ht="15" customFormat="1" customHeight="1" s="383" thickBot="1">
      <c r="A78" s="154" t="n"/>
      <c r="B78" s="411" t="n">
        <v>1903</v>
      </c>
      <c r="C78" s="564" t="n"/>
      <c r="D78" s="564" t="n">
        <v>0</v>
      </c>
      <c r="E78" s="571" t="n">
        <v>10</v>
      </c>
      <c r="F78" s="572">
        <f>0*E78</f>
        <v/>
      </c>
      <c r="G78" s="573">
        <f>0.2*E78</f>
        <v/>
      </c>
      <c r="H78" s="573">
        <f>0.4*E78</f>
        <v/>
      </c>
      <c r="I78" s="573">
        <f>0.6*E78</f>
        <v/>
      </c>
      <c r="J78" s="573">
        <f>0.8*E78</f>
        <v/>
      </c>
      <c r="K78" s="574">
        <f>1*E78</f>
        <v/>
      </c>
      <c r="L78" s="575" t="inlineStr">
        <is>
          <t>F</t>
        </is>
      </c>
      <c r="M78" s="576" t="n"/>
      <c r="N78" s="577">
        <f>F78</f>
        <v/>
      </c>
      <c r="O78" s="578">
        <f>G78</f>
        <v/>
      </c>
      <c r="P78" s="579">
        <f>H78</f>
        <v/>
      </c>
      <c r="Q78" s="579">
        <f>I78</f>
        <v/>
      </c>
      <c r="R78" s="578">
        <f>J78</f>
        <v/>
      </c>
      <c r="S78" s="580">
        <f>K78</f>
        <v/>
      </c>
      <c r="T78" s="581" t="inlineStr">
        <is>
          <t>V</t>
        </is>
      </c>
      <c r="U78" s="582">
        <f>0.002*(E78-D78)</f>
        <v/>
      </c>
      <c r="V78" s="157" t="n"/>
    </row>
    <row r="79" ht="15" customFormat="1" customHeight="1" s="383" thickBot="1">
      <c r="A79" s="154" t="n"/>
      <c r="B79" s="505" t="n"/>
      <c r="C79" s="505" t="n"/>
      <c r="D79" s="505" t="n"/>
      <c r="E79" s="506" t="n"/>
      <c r="F79" s="583" t="n">
        <v>0</v>
      </c>
      <c r="G79" s="584" t="n">
        <v>0</v>
      </c>
      <c r="H79" s="584" t="n">
        <v>0</v>
      </c>
      <c r="I79" s="584" t="n">
        <v>0</v>
      </c>
      <c r="J79" s="585" t="n">
        <v>0</v>
      </c>
      <c r="K79" s="586" t="n">
        <v>0</v>
      </c>
      <c r="L79" s="505" t="n"/>
      <c r="M79" s="505" t="n"/>
      <c r="N79" s="583" t="n"/>
      <c r="O79" s="585" t="n"/>
      <c r="P79" s="585" t="n"/>
      <c r="Q79" s="585" t="n"/>
      <c r="R79" s="585" t="n"/>
      <c r="S79" s="586" t="n"/>
      <c r="T79" s="505" t="n"/>
      <c r="U79" s="507" t="n"/>
      <c r="V79" s="157" t="n"/>
    </row>
    <row r="80" ht="15" customFormat="1" customHeight="1" s="383" thickBot="1">
      <c r="A80" s="160" t="n"/>
      <c r="B80" s="10" t="n"/>
      <c r="C80" s="10" t="n"/>
      <c r="D80" s="10" t="n"/>
      <c r="E80" s="10" t="inlineStr">
        <is>
          <t xml:space="preserve">         Pre-Cals. Checked By.</t>
        </is>
      </c>
      <c r="F80" s="379" t="inlineStr">
        <is>
          <t>CD</t>
        </is>
      </c>
      <c r="G80" s="547" t="n"/>
      <c r="H80" s="149" t="n"/>
      <c r="I80" s="149" t="n"/>
      <c r="J80" s="149" t="n"/>
      <c r="K80" s="149" t="n"/>
      <c r="L80" s="149" t="n"/>
      <c r="M80" s="149" t="n"/>
      <c r="N80" s="149" t="n"/>
      <c r="O80" s="149" t="n"/>
      <c r="P80" s="149" t="n"/>
      <c r="Q80" s="149" t="n"/>
      <c r="R80" s="149" t="n"/>
      <c r="S80" s="149" t="n"/>
      <c r="T80" s="149" t="n"/>
      <c r="U80" s="149" t="n"/>
      <c r="V80" s="157" t="n"/>
    </row>
    <row r="81" ht="15" customFormat="1" customHeight="1" s="383">
      <c r="A81" s="160" t="n"/>
      <c r="B81" s="18" t="n"/>
      <c r="C81" s="149" t="n"/>
      <c r="D81" s="149" t="n"/>
      <c r="E81" s="149" t="n"/>
      <c r="F81" s="149" t="n"/>
      <c r="G81" s="10" t="n"/>
      <c r="H81" s="10" t="n"/>
      <c r="I81" s="10" t="n"/>
      <c r="J81" s="10" t="n"/>
      <c r="K81" s="10" t="n"/>
      <c r="L81" s="10" t="n"/>
      <c r="M81" s="8" t="n"/>
      <c r="N81" s="149" t="n"/>
      <c r="O81" s="551" t="n"/>
      <c r="P81" s="551" t="n"/>
      <c r="Q81" s="551" t="n"/>
      <c r="R81" s="149" t="n"/>
      <c r="S81" s="149" t="n"/>
      <c r="T81" s="149" t="n"/>
      <c r="U81" s="149" t="n"/>
      <c r="V81" s="157" t="n"/>
    </row>
    <row r="82" ht="15" customFormat="1" customHeight="1" s="383" thickBot="1">
      <c r="A82" s="160" t="n"/>
      <c r="B82" s="10" t="n"/>
      <c r="C82" s="10" t="n"/>
      <c r="D82" s="10" t="inlineStr">
        <is>
          <t xml:space="preserve">Calibrator Used. </t>
        </is>
      </c>
      <c r="E82" s="384" t="inlineStr">
        <is>
          <t>DEVT No.</t>
        </is>
      </c>
      <c r="F82" s="509" t="n"/>
      <c r="G82" s="381" t="inlineStr">
        <is>
          <t>Make / Model</t>
        </is>
      </c>
      <c r="H82" s="461" t="n"/>
      <c r="I82" s="461" t="n"/>
      <c r="J82" s="461" t="n"/>
      <c r="K82" s="444" t="inlineStr">
        <is>
          <t>Serial Number</t>
        </is>
      </c>
      <c r="L82" s="461" t="n"/>
      <c r="M82" s="461" t="n"/>
      <c r="N82" s="445" t="inlineStr">
        <is>
          <t>Calibration Next Due</t>
        </is>
      </c>
      <c r="O82" s="509" t="n"/>
      <c r="P82" s="509" t="n"/>
      <c r="Q82" s="149" t="n"/>
      <c r="R82" s="149" t="n"/>
      <c r="S82" s="149" t="n"/>
      <c r="T82" s="149" t="n"/>
      <c r="U82" s="149" t="n"/>
      <c r="V82" s="157" t="n"/>
    </row>
    <row r="83" ht="15" customFormat="1" customHeight="1" s="383">
      <c r="A83" s="160" t="n"/>
      <c r="B83" s="149" t="n"/>
      <c r="C83" s="149" t="n"/>
      <c r="D83" s="150" t="inlineStr">
        <is>
          <t xml:space="preserve">Range A. </t>
        </is>
      </c>
      <c r="E83" s="428" t="n">
        <v>105</v>
      </c>
      <c r="F83" s="511" t="n"/>
      <c r="G83" s="430" t="inlineStr">
        <is>
          <t>Druck DPI 620</t>
        </is>
      </c>
      <c r="H83" s="513" t="n"/>
      <c r="I83" s="513" t="n"/>
      <c r="J83" s="511" t="n"/>
      <c r="K83" s="433" t="n"/>
      <c r="L83" s="513" t="n"/>
      <c r="M83" s="511" t="n"/>
      <c r="N83" s="434" t="n">
        <v>44866</v>
      </c>
      <c r="O83" s="513" t="n"/>
      <c r="P83" s="511" t="n"/>
      <c r="Q83" s="551" t="n"/>
      <c r="R83" s="551" t="inlineStr">
        <is>
          <t>Where</t>
        </is>
      </c>
      <c r="S83" s="151" t="inlineStr">
        <is>
          <t>set point</t>
        </is>
      </c>
      <c r="T83" s="149" t="inlineStr">
        <is>
          <t>are the</t>
        </is>
      </c>
      <c r="U83" s="149" t="n"/>
      <c r="V83" s="157" t="n"/>
    </row>
    <row r="84" ht="15" customFormat="1" customHeight="1" s="383">
      <c r="A84" s="160" t="n"/>
      <c r="B84" s="149" t="n"/>
      <c r="C84" s="149" t="n"/>
      <c r="D84" s="150" t="inlineStr">
        <is>
          <t xml:space="preserve">Range B. </t>
        </is>
      </c>
      <c r="E84" s="436" t="n"/>
      <c r="F84" s="517" t="n"/>
      <c r="G84" s="438" t="n"/>
      <c r="H84" s="519" t="n"/>
      <c r="I84" s="519" t="n"/>
      <c r="J84" s="517" t="n"/>
      <c r="K84" s="440" t="n"/>
      <c r="L84" s="519" t="n"/>
      <c r="M84" s="517" t="n"/>
      <c r="N84" s="441" t="n"/>
      <c r="O84" s="519" t="n"/>
      <c r="P84" s="517" t="n"/>
      <c r="Q84" s="149" t="n"/>
      <c r="R84" s="149" t="n"/>
      <c r="S84" s="18" t="inlineStr">
        <is>
          <t>calibration points.</t>
        </is>
      </c>
      <c r="T84" s="8" t="n"/>
      <c r="U84" s="8" t="n"/>
      <c r="V84" s="157" t="n"/>
    </row>
    <row r="85" ht="15" customFormat="1" customHeight="1" s="383" thickBot="1">
      <c r="A85" s="160" t="n"/>
      <c r="B85" s="149" t="n"/>
      <c r="C85" s="149" t="n"/>
      <c r="D85" s="150" t="inlineStr">
        <is>
          <t xml:space="preserve">Range C. </t>
        </is>
      </c>
      <c r="E85" s="421" t="n"/>
      <c r="F85" s="524" t="n"/>
      <c r="G85" s="423" t="n"/>
      <c r="H85" s="526" t="n"/>
      <c r="I85" s="526" t="n"/>
      <c r="J85" s="524" t="n"/>
      <c r="K85" s="425" t="n"/>
      <c r="L85" s="526" t="n"/>
      <c r="M85" s="524" t="n"/>
      <c r="N85" s="426" t="n"/>
      <c r="O85" s="526" t="n"/>
      <c r="P85" s="524" t="n"/>
      <c r="Q85" s="10" t="n"/>
      <c r="R85" s="10" t="n"/>
      <c r="S85" s="149" t="n"/>
      <c r="T85" s="149" t="n"/>
      <c r="U85" s="149" t="n"/>
      <c r="V85" s="157" t="n"/>
    </row>
    <row r="86" ht="15" customFormat="1" customHeight="1" s="383" thickBot="1">
      <c r="A86" s="161" t="n"/>
      <c r="B86" s="75" t="n"/>
      <c r="C86" s="75" t="n"/>
      <c r="D86" s="75" t="n"/>
      <c r="E86" s="75" t="n"/>
      <c r="F86" s="75" t="n"/>
      <c r="G86" s="75" t="n"/>
      <c r="H86" s="75" t="n"/>
      <c r="I86" s="75" t="n"/>
      <c r="J86" s="75" t="n"/>
      <c r="K86" s="75" t="n"/>
      <c r="L86" s="75" t="n"/>
      <c r="M86" s="75" t="n"/>
      <c r="N86" s="75" t="n"/>
      <c r="O86" s="75" t="n"/>
      <c r="P86" s="75" t="n"/>
      <c r="Q86" s="75" t="n"/>
      <c r="R86" s="57" t="n"/>
      <c r="S86" s="75" t="n"/>
      <c r="T86" s="75" t="n"/>
      <c r="U86" s="75" t="n"/>
      <c r="V86" s="162" t="n"/>
    </row>
    <row r="87" ht="15" customFormat="1" customHeight="1" s="383" thickTop="1">
      <c r="A87" s="394" t="n"/>
      <c r="B87" s="394" t="n"/>
      <c r="C87" s="394" t="n"/>
      <c r="D87" s="394" t="n"/>
      <c r="E87" s="394" t="n"/>
      <c r="F87" s="394" t="n"/>
      <c r="G87" s="394" t="n"/>
      <c r="H87" s="394" t="n"/>
      <c r="I87" s="394" t="n"/>
      <c r="J87" s="394" t="n"/>
      <c r="K87" s="394" t="n"/>
      <c r="L87" s="394" t="n"/>
      <c r="M87" s="394" t="n"/>
      <c r="N87" s="394" t="n"/>
      <c r="O87" s="394" t="n"/>
      <c r="P87" s="394" t="n"/>
      <c r="Q87" s="394" t="n"/>
      <c r="R87" s="394" t="n"/>
      <c r="S87" s="394" t="n"/>
      <c r="T87" s="394" t="n"/>
      <c r="U87" s="394" t="n"/>
      <c r="V87" s="394" t="n"/>
    </row>
    <row r="91">
      <c r="J91" s="260" t="n"/>
    </row>
  </sheetData>
  <mergeCells count="272">
    <mergeCell ref="C30:C31"/>
    <mergeCell ref="M48:M49"/>
    <mergeCell ref="E8:E9"/>
    <mergeCell ref="E48:E49"/>
    <mergeCell ref="B12:B13"/>
    <mergeCell ref="U74:U75"/>
    <mergeCell ref="B52:B53"/>
    <mergeCell ref="M70:M71"/>
    <mergeCell ref="D52:D53"/>
    <mergeCell ref="L12:L13"/>
    <mergeCell ref="T78:T79"/>
    <mergeCell ref="C24:C25"/>
    <mergeCell ref="M54:M55"/>
    <mergeCell ref="C10:C11"/>
    <mergeCell ref="C16:C17"/>
    <mergeCell ref="T50:T51"/>
    <mergeCell ref="E10:E11"/>
    <mergeCell ref="U16:U17"/>
    <mergeCell ref="U76:U77"/>
    <mergeCell ref="B14:B15"/>
    <mergeCell ref="U48:U49"/>
    <mergeCell ref="L14:L15"/>
    <mergeCell ref="U66:U67"/>
    <mergeCell ref="T12:T13"/>
    <mergeCell ref="F80:G80"/>
    <mergeCell ref="E74:E75"/>
    <mergeCell ref="T64:T65"/>
    <mergeCell ref="B78:B79"/>
    <mergeCell ref="D72:D73"/>
    <mergeCell ref="D78:D79"/>
    <mergeCell ref="A40:V40"/>
    <mergeCell ref="D16:D17"/>
    <mergeCell ref="B28:B29"/>
    <mergeCell ref="K82:M82"/>
    <mergeCell ref="D62:D63"/>
    <mergeCell ref="U68:U69"/>
    <mergeCell ref="E34:F34"/>
    <mergeCell ref="T72:T73"/>
    <mergeCell ref="E76:E77"/>
    <mergeCell ref="L4:M4"/>
    <mergeCell ref="D18:D19"/>
    <mergeCell ref="U52:U53"/>
    <mergeCell ref="C66:C67"/>
    <mergeCell ref="B64:B65"/>
    <mergeCell ref="T56:T57"/>
    <mergeCell ref="D8:D9"/>
    <mergeCell ref="D64:D65"/>
    <mergeCell ref="G82:J82"/>
    <mergeCell ref="E36:F36"/>
    <mergeCell ref="M18:M19"/>
    <mergeCell ref="K34:M34"/>
    <mergeCell ref="U20:U21"/>
    <mergeCell ref="E50:E51"/>
    <mergeCell ref="B54:B55"/>
    <mergeCell ref="D54:D55"/>
    <mergeCell ref="D10:D11"/>
    <mergeCell ref="E85:F85"/>
    <mergeCell ref="E12:E13"/>
    <mergeCell ref="K36:M36"/>
    <mergeCell ref="U22:U23"/>
    <mergeCell ref="G34:J34"/>
    <mergeCell ref="U78:U79"/>
    <mergeCell ref="B56:B57"/>
    <mergeCell ref="T18:T19"/>
    <mergeCell ref="L16:L17"/>
    <mergeCell ref="M50:M51"/>
    <mergeCell ref="B26:B27"/>
    <mergeCell ref="C14:C15"/>
    <mergeCell ref="T54:T55"/>
    <mergeCell ref="A2:V2"/>
    <mergeCell ref="E14:E15"/>
    <mergeCell ref="L66:L67"/>
    <mergeCell ref="K84:M84"/>
    <mergeCell ref="U30:U31"/>
    <mergeCell ref="E64:E65"/>
    <mergeCell ref="U70:U71"/>
    <mergeCell ref="T74:T75"/>
    <mergeCell ref="E78:E79"/>
    <mergeCell ref="G85:J85"/>
    <mergeCell ref="L68:L69"/>
    <mergeCell ref="C54:C55"/>
    <mergeCell ref="B58:B59"/>
    <mergeCell ref="M10:M11"/>
    <mergeCell ref="N82:P82"/>
    <mergeCell ref="L18:L19"/>
    <mergeCell ref="L58:L59"/>
    <mergeCell ref="G84:J84"/>
    <mergeCell ref="C56:C57"/>
    <mergeCell ref="L42:M42"/>
    <mergeCell ref="U56:U57"/>
    <mergeCell ref="B60:B61"/>
    <mergeCell ref="M74:M75"/>
    <mergeCell ref="L20:L21"/>
    <mergeCell ref="C46:C47"/>
    <mergeCell ref="D12:D13"/>
    <mergeCell ref="M28:M29"/>
    <mergeCell ref="E46:E47"/>
    <mergeCell ref="N34:P34"/>
    <mergeCell ref="U24:U25"/>
    <mergeCell ref="E54:E55"/>
    <mergeCell ref="C76:C77"/>
    <mergeCell ref="M24:M25"/>
    <mergeCell ref="N46:S47"/>
    <mergeCell ref="M76:M77"/>
    <mergeCell ref="L22:L23"/>
    <mergeCell ref="C8:C9"/>
    <mergeCell ref="C60:C61"/>
    <mergeCell ref="M8:M9"/>
    <mergeCell ref="N36:P36"/>
    <mergeCell ref="M66:M67"/>
    <mergeCell ref="U26:U27"/>
    <mergeCell ref="L72:L73"/>
    <mergeCell ref="F8:K9"/>
    <mergeCell ref="U58:U59"/>
    <mergeCell ref="E26:E27"/>
    <mergeCell ref="U10:U11"/>
    <mergeCell ref="B30:B31"/>
    <mergeCell ref="E66:E67"/>
    <mergeCell ref="D30:D31"/>
    <mergeCell ref="E24:E25"/>
    <mergeCell ref="L70:L71"/>
    <mergeCell ref="D26:D27"/>
    <mergeCell ref="T28:T29"/>
    <mergeCell ref="U60:U61"/>
    <mergeCell ref="C74:C75"/>
    <mergeCell ref="C68:C69"/>
    <mergeCell ref="M52:M53"/>
    <mergeCell ref="N37:P37"/>
    <mergeCell ref="E68:E69"/>
    <mergeCell ref="K35:M35"/>
    <mergeCell ref="B16:B17"/>
    <mergeCell ref="C18:C19"/>
    <mergeCell ref="U50:U51"/>
    <mergeCell ref="C58:C59"/>
    <mergeCell ref="E58:E59"/>
    <mergeCell ref="T48:T49"/>
    <mergeCell ref="M20:M21"/>
    <mergeCell ref="T30:T31"/>
    <mergeCell ref="L48:L49"/>
    <mergeCell ref="E52:E53"/>
    <mergeCell ref="K85:M85"/>
    <mergeCell ref="L62:L63"/>
    <mergeCell ref="B18:B19"/>
    <mergeCell ref="C20:C21"/>
    <mergeCell ref="G35:J35"/>
    <mergeCell ref="T14:T15"/>
    <mergeCell ref="E20:E21"/>
    <mergeCell ref="E60:E61"/>
    <mergeCell ref="B8:B9"/>
    <mergeCell ref="E83:F83"/>
    <mergeCell ref="M78:M79"/>
    <mergeCell ref="C50:C51"/>
    <mergeCell ref="T68:T69"/>
    <mergeCell ref="D76:D77"/>
    <mergeCell ref="C22:C23"/>
    <mergeCell ref="M46:M47"/>
    <mergeCell ref="T58:T59"/>
    <mergeCell ref="L74:L75"/>
    <mergeCell ref="D66:D67"/>
    <mergeCell ref="C12:C13"/>
    <mergeCell ref="E28:E29"/>
    <mergeCell ref="U72:U73"/>
    <mergeCell ref="M12:M13"/>
    <mergeCell ref="E84:F84"/>
    <mergeCell ref="T60:T61"/>
    <mergeCell ref="L76:L77"/>
    <mergeCell ref="B68:B69"/>
    <mergeCell ref="D28:D29"/>
    <mergeCell ref="Q42:T42"/>
    <mergeCell ref="U62:U63"/>
    <mergeCell ref="E30:E31"/>
    <mergeCell ref="D68:D69"/>
    <mergeCell ref="T70:T71"/>
    <mergeCell ref="L26:L27"/>
    <mergeCell ref="C70:C71"/>
    <mergeCell ref="E70:E71"/>
    <mergeCell ref="M14:M15"/>
    <mergeCell ref="L60:L61"/>
    <mergeCell ref="T22:T23"/>
    <mergeCell ref="T66:T67"/>
    <mergeCell ref="N83:P83"/>
    <mergeCell ref="U64:U65"/>
    <mergeCell ref="L50:L51"/>
    <mergeCell ref="E72:E73"/>
    <mergeCell ref="C78:C79"/>
    <mergeCell ref="B20:B21"/>
    <mergeCell ref="E16:E17"/>
    <mergeCell ref="N35:P35"/>
    <mergeCell ref="D20:D21"/>
    <mergeCell ref="C48:C49"/>
    <mergeCell ref="N8:S9"/>
    <mergeCell ref="D14:D15"/>
    <mergeCell ref="G37:J37"/>
    <mergeCell ref="M26:M27"/>
    <mergeCell ref="U54:U55"/>
    <mergeCell ref="C62:C63"/>
    <mergeCell ref="E62:E63"/>
    <mergeCell ref="E56:E57"/>
    <mergeCell ref="N85:P85"/>
    <mergeCell ref="L52:L53"/>
    <mergeCell ref="Q4:T4"/>
    <mergeCell ref="B22:B23"/>
    <mergeCell ref="E18:E19"/>
    <mergeCell ref="C64:C65"/>
    <mergeCell ref="M68:M69"/>
    <mergeCell ref="T20:T21"/>
    <mergeCell ref="B72:B73"/>
    <mergeCell ref="M58:M59"/>
    <mergeCell ref="F42:H42"/>
    <mergeCell ref="B62:B63"/>
    <mergeCell ref="T62:T63"/>
    <mergeCell ref="L78:L79"/>
    <mergeCell ref="B70:B71"/>
    <mergeCell ref="D70:D71"/>
    <mergeCell ref="B46:B47"/>
    <mergeCell ref="L28:L29"/>
    <mergeCell ref="D46:D47"/>
    <mergeCell ref="M60:M61"/>
    <mergeCell ref="C26:C27"/>
    <mergeCell ref="L24:L25"/>
    <mergeCell ref="E82:F82"/>
    <mergeCell ref="E35:F35"/>
    <mergeCell ref="M22:M23"/>
    <mergeCell ref="B48:B49"/>
    <mergeCell ref="L30:L31"/>
    <mergeCell ref="D48:D49"/>
    <mergeCell ref="U28:U29"/>
    <mergeCell ref="L64:L65"/>
    <mergeCell ref="M16:M17"/>
    <mergeCell ref="T26:T27"/>
    <mergeCell ref="D56:D57"/>
    <mergeCell ref="N84:P84"/>
    <mergeCell ref="U12:U13"/>
    <mergeCell ref="F32:G32"/>
    <mergeCell ref="B10:B11"/>
    <mergeCell ref="L54:L55"/>
    <mergeCell ref="B24:B25"/>
    <mergeCell ref="L10:L11"/>
    <mergeCell ref="D24:D25"/>
    <mergeCell ref="U18:U19"/>
    <mergeCell ref="G36:J36"/>
    <mergeCell ref="C52:C53"/>
    <mergeCell ref="T76:T77"/>
    <mergeCell ref="M30:M31"/>
    <mergeCell ref="U14:U15"/>
    <mergeCell ref="B74:B75"/>
    <mergeCell ref="K37:M37"/>
    <mergeCell ref="L56:L57"/>
    <mergeCell ref="D74:D75"/>
    <mergeCell ref="C72:C73"/>
    <mergeCell ref="F4:H4"/>
    <mergeCell ref="K83:M83"/>
    <mergeCell ref="M72:M73"/>
    <mergeCell ref="D58:D59"/>
    <mergeCell ref="B76:B77"/>
    <mergeCell ref="T16:T17"/>
    <mergeCell ref="M62:M63"/>
    <mergeCell ref="M56:M57"/>
    <mergeCell ref="T52:T53"/>
    <mergeCell ref="B66:B67"/>
    <mergeCell ref="C28:C29"/>
    <mergeCell ref="D60:D61"/>
    <mergeCell ref="E22:E23"/>
    <mergeCell ref="G83:J83"/>
    <mergeCell ref="E37:F37"/>
    <mergeCell ref="T24:T25"/>
    <mergeCell ref="B50:B51"/>
    <mergeCell ref="M64:M65"/>
    <mergeCell ref="D50:D51"/>
    <mergeCell ref="F46:K47"/>
    <mergeCell ref="T10:T11"/>
    <mergeCell ref="D22:D23"/>
  </mergeCells>
  <conditionalFormatting sqref="L10:L27">
    <cfRule type="cellIs" priority="31" operator="equal" dxfId="2">
      <formula>"F"</formula>
    </cfRule>
  </conditionalFormatting>
  <conditionalFormatting sqref="L28:L29">
    <cfRule type="cellIs" priority="30" operator="equal" dxfId="2">
      <formula>"F"</formula>
    </cfRule>
  </conditionalFormatting>
  <conditionalFormatting sqref="L30:L31">
    <cfRule type="cellIs" priority="29" operator="equal" dxfId="2">
      <formula>"F"</formula>
    </cfRule>
  </conditionalFormatting>
  <conditionalFormatting sqref="F11:K11 F13:K13 F15:K15 F17:K17 F19:K19 F21:K21 F23:K23 F25:K25 F27:K27 F29:K29 F31:K31 N11:S11 N13:S13 N15:S15 N17:S17 N19:S19 N21:S21 N23:S23 N25:S25 N27:S27 N29:S29 N31:S31">
    <cfRule type="cellIs" priority="32" operator="notBetween" dxfId="1" stopIfTrue="1">
      <formula>#REF!-#REF!</formula>
      <formula>#REF!+#REF!</formula>
    </cfRule>
    <cfRule type="cellIs" priority="33" operator="notBetween" dxfId="0" stopIfTrue="1">
      <formula>#REF!-#REF!*0.8</formula>
      <formula>#REF!+#REF!*0.8</formula>
    </cfRule>
  </conditionalFormatting>
  <conditionalFormatting sqref="L48:L49">
    <cfRule type="cellIs" priority="26" operator="equal" dxfId="2">
      <formula>"F"</formula>
    </cfRule>
  </conditionalFormatting>
  <conditionalFormatting sqref="L50:L51">
    <cfRule type="cellIs" priority="25" operator="equal" dxfId="2">
      <formula>"F"</formula>
    </cfRule>
  </conditionalFormatting>
  <conditionalFormatting sqref="L52:L53">
    <cfRule type="cellIs" priority="24" operator="equal" dxfId="2">
      <formula>"F"</formula>
    </cfRule>
  </conditionalFormatting>
  <conditionalFormatting sqref="L54:L55">
    <cfRule type="cellIs" priority="23" operator="equal" dxfId="2">
      <formula>"F"</formula>
    </cfRule>
  </conditionalFormatting>
  <conditionalFormatting sqref="L56:L57">
    <cfRule type="cellIs" priority="22" operator="equal" dxfId="2">
      <formula>"F"</formula>
    </cfRule>
  </conditionalFormatting>
  <conditionalFormatting sqref="L58:L59">
    <cfRule type="cellIs" priority="21" operator="equal" dxfId="2">
      <formula>"F"</formula>
    </cfRule>
  </conditionalFormatting>
  <conditionalFormatting sqref="L60:L61">
    <cfRule type="cellIs" priority="20" operator="equal" dxfId="2">
      <formula>"F"</formula>
    </cfRule>
  </conditionalFormatting>
  <conditionalFormatting sqref="L62:L63">
    <cfRule type="cellIs" priority="19" operator="equal" dxfId="2">
      <formula>"F"</formula>
    </cfRule>
  </conditionalFormatting>
  <conditionalFormatting sqref="L64:L65">
    <cfRule type="cellIs" priority="18" operator="equal" dxfId="2">
      <formula>"F"</formula>
    </cfRule>
  </conditionalFormatting>
  <conditionalFormatting sqref="L66:L67">
    <cfRule type="cellIs" priority="17" operator="equal" dxfId="2">
      <formula>"F"</formula>
    </cfRule>
  </conditionalFormatting>
  <conditionalFormatting sqref="L68:L69">
    <cfRule type="cellIs" priority="16" operator="equal" dxfId="2">
      <formula>"F"</formula>
    </cfRule>
  </conditionalFormatting>
  <conditionalFormatting sqref="F49:K49 F51:K51 F53:K53 F55:K55 F57:K57 F59:K59 F61:K61 F63:K63 F65:K65 F67:K67 F69:K69 N49:S49 N51:S51 N53:S53 N55:S55 N57:S57 N59:S59 N61:S61 N63:S63 N65:S65 N67:S67 N69:S69">
    <cfRule type="cellIs" priority="27" operator="notBetween" dxfId="1" stopIfTrue="1">
      <formula>#REF!-#REF!</formula>
      <formula>#REF!+#REF!</formula>
    </cfRule>
    <cfRule type="cellIs" priority="28" operator="notBetween" dxfId="0" stopIfTrue="1">
      <formula>#REF!-#REF!*0.8</formula>
      <formula>#REF!+#REF!*0.8</formula>
    </cfRule>
  </conditionalFormatting>
  <conditionalFormatting sqref="L70:L71">
    <cfRule type="cellIs" priority="13" operator="equal" dxfId="2">
      <formula>"F"</formula>
    </cfRule>
  </conditionalFormatting>
  <conditionalFormatting sqref="F71:K71 N71:S71">
    <cfRule type="cellIs" priority="14" operator="notBetween" dxfId="1" stopIfTrue="1">
      <formula>#REF!-#REF!</formula>
      <formula>#REF!+#REF!</formula>
    </cfRule>
    <cfRule type="cellIs" priority="15" operator="notBetween" dxfId="0" stopIfTrue="1">
      <formula>#REF!-#REF!*0.8</formula>
      <formula>#REF!+#REF!*0.8</formula>
    </cfRule>
  </conditionalFormatting>
  <conditionalFormatting sqref="L72:L73">
    <cfRule type="cellIs" priority="10" operator="equal" dxfId="2">
      <formula>"F"</formula>
    </cfRule>
  </conditionalFormatting>
  <conditionalFormatting sqref="F73:K73 N73:S73">
    <cfRule type="cellIs" priority="11" operator="notBetween" dxfId="1" stopIfTrue="1">
      <formula>#REF!-#REF!</formula>
      <formula>#REF!+#REF!</formula>
    </cfRule>
    <cfRule type="cellIs" priority="12" operator="notBetween" dxfId="0" stopIfTrue="1">
      <formula>#REF!-#REF!*0.8</formula>
      <formula>#REF!+#REF!*0.8</formula>
    </cfRule>
  </conditionalFormatting>
  <conditionalFormatting sqref="L74:L75">
    <cfRule type="cellIs" priority="7" operator="equal" dxfId="2">
      <formula>"F"</formula>
    </cfRule>
  </conditionalFormatting>
  <conditionalFormatting sqref="F75:K75 N75:S75">
    <cfRule type="cellIs" priority="8" operator="notBetween" dxfId="1" stopIfTrue="1">
      <formula>#REF!-#REF!</formula>
      <formula>#REF!+#REF!</formula>
    </cfRule>
    <cfRule type="cellIs" priority="9" operator="notBetween" dxfId="0" stopIfTrue="1">
      <formula>#REF!-#REF!*0.8</formula>
      <formula>#REF!+#REF!*0.8</formula>
    </cfRule>
  </conditionalFormatting>
  <conditionalFormatting sqref="L76:L77">
    <cfRule type="cellIs" priority="4" operator="equal" dxfId="2">
      <formula>"F"</formula>
    </cfRule>
  </conditionalFormatting>
  <conditionalFormatting sqref="F77:K77 N77:S77">
    <cfRule type="cellIs" priority="5" operator="notBetween" dxfId="1" stopIfTrue="1">
      <formula>#REF!-#REF!</formula>
      <formula>#REF!+#REF!</formula>
    </cfRule>
    <cfRule type="cellIs" priority="6" operator="notBetween" dxfId="0" stopIfTrue="1">
      <formula>#REF!-#REF!*0.8</formula>
      <formula>#REF!+#REF!*0.8</formula>
    </cfRule>
  </conditionalFormatting>
  <conditionalFormatting sqref="L78:L79">
    <cfRule type="cellIs" priority="1" operator="equal" dxfId="2">
      <formula>"F"</formula>
    </cfRule>
  </conditionalFormatting>
  <conditionalFormatting sqref="F79:K79 N79:S79">
    <cfRule type="cellIs" priority="2" operator="notBetween" dxfId="1" stopIfTrue="1">
      <formula>#REF!-#REF!</formula>
      <formula>#REF!+#REF!</formula>
    </cfRule>
    <cfRule type="cellIs" priority="3" operator="notBetween" dxfId="0" stopIfTrue="1">
      <formula>#REF!-#REF!*0.8</formula>
      <formula>#REF!+#REF!*0.8</formula>
    </cfRule>
  </conditionalFormatting>
  <dataValidations count="1">
    <dataValidation sqref="Q4 Q42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75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38" min="0" max="16383" man="1"/>
  </rowBreaks>
  <legacyDrawing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9"/>
  <sheetViews>
    <sheetView workbookViewId="0">
      <selection activeCell="A1" sqref="A1"/>
    </sheetView>
  </sheetViews>
  <sheetFormatPr baseColWidth="8" defaultRowHeight="15"/>
  <sheetData>
    <row r="1">
      <c r="A1" t="inlineStr">
        <is>
          <t>PTX1</t>
        </is>
      </c>
    </row>
    <row r="2">
      <c r="A2" t="inlineStr">
        <is>
          <t>PTX2</t>
        </is>
      </c>
    </row>
    <row r="3">
      <c r="A3" t="inlineStr">
        <is>
          <t>PTX3</t>
        </is>
      </c>
    </row>
    <row r="4">
      <c r="A4" t="inlineStr">
        <is>
          <t>PTX9</t>
        </is>
      </c>
    </row>
    <row r="5">
      <c r="A5" t="inlineStr">
        <is>
          <t>PTX13</t>
        </is>
      </c>
    </row>
    <row r="6">
      <c r="A6" t="inlineStr">
        <is>
          <t>PTX14</t>
        </is>
      </c>
    </row>
    <row r="7">
      <c r="A7" t="inlineStr">
        <is>
          <t>PTX15</t>
        </is>
      </c>
    </row>
    <row r="8">
      <c r="A8" t="inlineStr">
        <is>
          <t>PTX16</t>
        </is>
      </c>
    </row>
    <row r="9">
      <c r="A9" t="inlineStr">
        <is>
          <t>PTX19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Preferred Customer</dc:creator>
  <dcterms:created xsi:type="dcterms:W3CDTF">1998-11-23T16:05:40Z</dcterms:created>
  <dcterms:modified xsi:type="dcterms:W3CDTF">2023-04-18T14:01:48Z</dcterms:modified>
  <cp:lastModifiedBy>Cecil Dondo</cp:lastModifiedBy>
  <cp:lastPrinted>2022-12-12T09:46:17Z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0x010100E47443BD3D538C4AA7D2F2FF96252C7C</vt:lpwstr>
  </property>
  <property name="MSIP_Label_fb5e2db6-eecf-4aa2-8fc3-174bf94bce19_Enabled" fmtid="{D5CDD505-2E9C-101B-9397-08002B2CF9AE}" pid="3">
    <vt:lpwstr>true</vt:lpwstr>
  </property>
  <property name="MSIP_Label_fb5e2db6-eecf-4aa2-8fc3-174bf94bce19_SetDate" fmtid="{D5CDD505-2E9C-101B-9397-08002B2CF9AE}" pid="4">
    <vt:lpwstr>2022-09-08T08:36:12Z</vt:lpwstr>
  </property>
  <property name="MSIP_Label_fb5e2db6-eecf-4aa2-8fc3-174bf94bce19_Method" fmtid="{D5CDD505-2E9C-101B-9397-08002B2CF9AE}" pid="5">
    <vt:lpwstr>Standard</vt:lpwstr>
  </property>
  <property name="MSIP_Label_fb5e2db6-eecf-4aa2-8fc3-174bf94bce19_Name" fmtid="{D5CDD505-2E9C-101B-9397-08002B2CF9AE}" pid="6">
    <vt:lpwstr>fb5e2db6-eecf-4aa2-8fc3-174bf94bce19</vt:lpwstr>
  </property>
  <property name="MSIP_Label_fb5e2db6-eecf-4aa2-8fc3-174bf94bce19_SiteId" fmtid="{D5CDD505-2E9C-101B-9397-08002B2CF9AE}" pid="7">
    <vt:lpwstr>ceb177bf-013b-49ab-8a9c-4abce32afc1e</vt:lpwstr>
  </property>
  <property name="MSIP_Label_fb5e2db6-eecf-4aa2-8fc3-174bf94bce19_ActionId" fmtid="{D5CDD505-2E9C-101B-9397-08002B2CF9AE}" pid="8">
    <vt:lpwstr>71d23036-e119-4c5c-be8c-4c461d127f01</vt:lpwstr>
  </property>
  <property name="MSIP_Label_fb5e2db6-eecf-4aa2-8fc3-174bf94bce19_ContentBits" fmtid="{D5CDD505-2E9C-101B-9397-08002B2CF9AE}" pid="9">
    <vt:lpwstr>2</vt:lpwstr>
  </property>
</Properties>
</file>