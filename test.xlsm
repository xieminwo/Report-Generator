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omments/comment1.xml" ContentType="application/vnd.openxmlformats-officedocument.spreadsheetml.comments+xml"/>
  <Override PartName="/xl/worksheets/sheet3.xml" ContentType="application/vnd.openxmlformats-officedocument.spreadsheetml.worksheet+xml"/>
  <Override PartName="/xl/comments/comment2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840" tabRatio="901" firstSheet="0" activeTab="7" autoFilterDateGrouping="1"/>
  </bookViews>
  <sheets>
    <sheet name="Title" sheetId="1" state="visible" r:id="rId1"/>
    <sheet name="Pressures A" sheetId="2" state="visible" r:id="rId2"/>
    <sheet name="Pressures B" sheetId="3" state="visible" r:id="rId3"/>
    <sheet name="Low Temperatures" sheetId="4" state="visible" r:id="rId4"/>
    <sheet name="High Temperatures A" sheetId="5" state="visible" r:id="rId5"/>
    <sheet name="High Temperatures B" sheetId="6" state="visible" r:id="rId6"/>
    <sheet name="Engine Speed" sheetId="7" state="visible" r:id="rId7"/>
    <sheet name=" Report " sheetId="8" state="visible" r:id="rId8"/>
    <sheet name="Failed Transducers" sheetId="9" state="visible" r:id="rId9"/>
  </sheets>
  <externalReferences>
    <externalReference r:id="rId10"/>
    <externalReference r:id="rId11"/>
  </externalReferences>
  <definedNames>
    <definedName name="CSOS">#REF!,#REF!,#REF!,#REF!,#REF!</definedName>
    <definedName name="CSOS2">#REF!</definedName>
    <definedName name="Gear">#REF!</definedName>
    <definedName name="GearNo">#REF!</definedName>
    <definedName name="Gears">#REF!</definedName>
    <definedName name="GearsCSOS">[1]CSOS!$A$17:$A$18</definedName>
    <definedName name="Model">#REF!</definedName>
    <definedName name="Models">#REF!</definedName>
    <definedName name="TCOS">#REF!</definedName>
    <definedName name="TOS">#REF!</definedName>
    <definedName name="TransmissionModel">#REF!</definedName>
    <definedName name="_xlnm.Print_Area" localSheetId="0">'Title'!$B$2:$G$15</definedName>
    <definedName name="CSOS" localSheetId="7">#REF!,#REF!,#REF!,#REF!,#REF!</definedName>
    <definedName name="CSOS2" localSheetId="7">#REF!</definedName>
    <definedName name="Gear" localSheetId="7">#REF!</definedName>
    <definedName name="GearNo" localSheetId="7">#REF!</definedName>
    <definedName name="_xlnm.Print_Area" localSheetId="7">' Report '!$A$1:$X$65</definedName>
  </definedNames>
  <calcPr calcId="191028" fullCalcOnLoad="1"/>
</workbook>
</file>

<file path=xl/styles.xml><?xml version="1.0" encoding="utf-8"?>
<styleSheet xmlns="http://schemas.openxmlformats.org/spreadsheetml/2006/main">
  <numFmts count="8">
    <numFmt numFmtId="164" formatCode="0.0"/>
    <numFmt numFmtId="165" formatCode="0.000"/>
    <numFmt numFmtId="166" formatCode="d/m/yy"/>
    <numFmt numFmtId="167" formatCode="dd\-mmmm\-yyyy"/>
    <numFmt numFmtId="168" formatCode="[$-809]dd\ mmmm\ yyyy;@"/>
    <numFmt numFmtId="169" formatCode="mmmm\-yy"/>
    <numFmt numFmtId="170" formatCode="mmmm\-yyyy"/>
    <numFmt numFmtId="171" formatCode="mmmm\ yyyy"/>
  </numFmts>
  <fonts count="71">
    <font>
      <name val="Arial"/>
      <sz val="10"/>
    </font>
    <font>
      <name val="Calibri"/>
      <family val="2"/>
      <color theme="1"/>
      <sz val="11"/>
      <scheme val="minor"/>
    </font>
    <font>
      <name val="Arial"/>
      <family val="2"/>
      <b val="1"/>
      <sz val="10"/>
    </font>
    <font>
      <name val="Arial"/>
      <family val="2"/>
      <sz val="10"/>
    </font>
    <font>
      <name val="Arial"/>
      <family val="2"/>
      <sz val="13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b val="1"/>
      <i val="1"/>
      <color indexed="10"/>
      <sz val="10"/>
    </font>
    <font>
      <name val="Arial"/>
      <family val="2"/>
      <sz val="16"/>
    </font>
    <font>
      <name val="Arial"/>
      <family val="2"/>
      <b val="1"/>
      <color indexed="10"/>
      <sz val="10"/>
    </font>
    <font>
      <name val="Arial"/>
      <family val="2"/>
      <sz val="20"/>
    </font>
    <font>
      <name val="Arial"/>
      <family val="2"/>
      <sz val="15"/>
    </font>
    <font>
      <name val="Arial"/>
      <family val="2"/>
      <sz val="12"/>
    </font>
    <font>
      <name val="Arial"/>
      <family val="2"/>
      <b val="1"/>
      <sz val="12"/>
    </font>
    <font>
      <name val="Arial"/>
      <family val="2"/>
      <b val="1"/>
      <color indexed="12"/>
      <sz val="10"/>
    </font>
    <font>
      <name val="Calibri"/>
      <family val="2"/>
      <color indexed="8"/>
      <sz val="11"/>
    </font>
    <font>
      <name val="Calibri"/>
      <family val="2"/>
      <color indexed="9"/>
      <sz val="11"/>
    </font>
    <font>
      <name val="Calibri"/>
      <family val="2"/>
      <color indexed="20"/>
      <sz val="11"/>
    </font>
    <font>
      <name val="Calibri"/>
      <family val="2"/>
      <b val="1"/>
      <color indexed="10"/>
      <sz val="11"/>
    </font>
    <font>
      <name val="Calibri"/>
      <family val="2"/>
      <b val="1"/>
      <color indexed="9"/>
      <sz val="11"/>
    </font>
    <font>
      <name val="Calibri"/>
      <family val="2"/>
      <i val="1"/>
      <color indexed="23"/>
      <sz val="11"/>
    </font>
    <font>
      <name val="Calibri"/>
      <family val="2"/>
      <color indexed="17"/>
      <sz val="11"/>
    </font>
    <font>
      <name val="Calibri"/>
      <family val="2"/>
      <b val="1"/>
      <color indexed="62"/>
      <sz val="15"/>
    </font>
    <font>
      <name val="Calibri"/>
      <family val="2"/>
      <b val="1"/>
      <color indexed="62"/>
      <sz val="13"/>
    </font>
    <font>
      <name val="Calibri"/>
      <family val="2"/>
      <b val="1"/>
      <color indexed="62"/>
      <sz val="11"/>
    </font>
    <font>
      <name val="Calibri"/>
      <family val="2"/>
      <color indexed="62"/>
      <sz val="11"/>
    </font>
    <font>
      <name val="Calibri"/>
      <family val="2"/>
      <color indexed="10"/>
      <sz val="11"/>
    </font>
    <font>
      <name val="Calibri"/>
      <family val="2"/>
      <color indexed="19"/>
      <sz val="11"/>
    </font>
    <font>
      <name val="Calibri"/>
      <family val="2"/>
      <b val="1"/>
      <color indexed="63"/>
      <sz val="11"/>
    </font>
    <font>
      <name val="Cambria"/>
      <family val="2"/>
      <b val="1"/>
      <color indexed="62"/>
      <sz val="18"/>
    </font>
    <font>
      <name val="Calibri"/>
      <family val="2"/>
      <b val="1"/>
      <color indexed="8"/>
      <sz val="11"/>
    </font>
    <font>
      <name val="Arial"/>
      <family val="2"/>
      <sz val="10"/>
    </font>
    <font>
      <name val="Times New Roman"/>
      <family val="1"/>
      <sz val="10"/>
    </font>
    <font>
      <name val="Times New Roman"/>
      <family val="1"/>
      <b val="1"/>
      <sz val="10"/>
    </font>
    <font>
      <name val="Tahoma"/>
      <family val="2"/>
      <b val="1"/>
      <color indexed="81"/>
      <sz val="9"/>
    </font>
    <font>
      <name val="Tahoma"/>
      <family val="2"/>
      <color indexed="81"/>
      <sz val="9"/>
    </font>
    <font>
      <name val="Arial"/>
      <family val="2"/>
      <b val="1"/>
      <sz val="13"/>
    </font>
    <font>
      <name val="Arial"/>
      <family val="2"/>
      <b val="1"/>
      <i val="1"/>
      <sz val="10"/>
    </font>
    <font>
      <name val="Arial"/>
      <family val="2"/>
      <b val="1"/>
      <color indexed="56"/>
      <sz val="20"/>
    </font>
    <font>
      <name val="Arial"/>
      <family val="2"/>
      <sz val="8"/>
    </font>
    <font>
      <name val="Arial"/>
      <family val="2"/>
      <b val="1"/>
      <sz val="8"/>
    </font>
    <font>
      <name val="Arial"/>
      <family val="2"/>
      <sz val="8"/>
    </font>
    <font>
      <name val="Arial"/>
      <family val="2"/>
      <b val="1"/>
      <color theme="3"/>
      <sz val="24"/>
    </font>
    <font>
      <name val="Calibri"/>
      <family val="2"/>
      <b val="1"/>
      <sz val="11"/>
      <scheme val="minor"/>
    </font>
    <font>
      <name val="Arial"/>
      <family val="2"/>
      <color theme="3"/>
      <sz val="10"/>
    </font>
    <font>
      <name val="Arial"/>
      <family val="2"/>
      <color rgb="FFFF0000"/>
      <sz val="10"/>
    </font>
    <font>
      <name val="Calibri"/>
      <family val="2"/>
      <b val="1"/>
      <color rgb="FF000000"/>
      <sz val="11"/>
    </font>
    <font>
      <name val="Arial"/>
      <family val="2"/>
      <b val="1"/>
      <color theme="3"/>
      <sz val="22"/>
    </font>
    <font>
      <name val="Arial"/>
      <family val="2"/>
      <b val="1"/>
      <color theme="6" tint="-0.249977111117893"/>
      <sz val="10"/>
    </font>
    <font>
      <name val="Arial"/>
      <family val="2"/>
      <color theme="6" tint="-0.249977111117893"/>
      <sz val="10"/>
    </font>
    <font>
      <name val="Arial"/>
      <family val="2"/>
      <b val="1"/>
      <color theme="3"/>
      <sz val="20"/>
    </font>
    <font>
      <name val="Arial"/>
      <family val="2"/>
      <sz val="11"/>
    </font>
    <font>
      <name val="Arial"/>
      <family val="2"/>
      <b val="1"/>
      <color rgb="FFFF0000"/>
      <sz val="11"/>
    </font>
    <font>
      <name val="Arial"/>
      <family val="2"/>
      <color theme="6" tint="-0.499984740745262"/>
      <sz val="10"/>
    </font>
    <font>
      <name val="Arial"/>
      <family val="2"/>
      <b val="1"/>
      <color theme="3"/>
      <sz val="11"/>
    </font>
    <font>
      <name val="Arial"/>
      <family val="2"/>
      <b val="1"/>
      <i val="1"/>
      <color rgb="FFFF0000"/>
      <sz val="11"/>
    </font>
    <font>
      <name val="Arial"/>
      <family val="2"/>
      <b val="1"/>
      <i val="1"/>
      <color theme="3"/>
      <sz val="11"/>
    </font>
    <font>
      <name val="Arial"/>
      <family val="2"/>
      <b val="1"/>
      <i val="1"/>
      <color rgb="FF0070C0"/>
      <sz val="11"/>
    </font>
    <font>
      <name val="Arial"/>
      <family val="2"/>
      <b val="1"/>
      <sz val="11"/>
    </font>
    <font>
      <name val="Arial"/>
      <family val="2"/>
      <b val="1"/>
      <color theme="6" tint="-0.499984740745262"/>
      <sz val="10"/>
    </font>
    <font>
      <name val="Arial"/>
      <family val="2"/>
      <i val="1"/>
      <sz val="10"/>
    </font>
    <font>
      <name val="Calibri"/>
      <family val="2"/>
      <b val="1"/>
      <color rgb="FFFF0000"/>
      <sz val="11"/>
    </font>
    <font>
      <name val="Arial"/>
      <family val="2"/>
      <b val="1"/>
      <color rgb="FF0070C0"/>
      <sz val="11"/>
    </font>
    <font>
      <name val="Calibri"/>
      <family val="2"/>
      <b val="1"/>
      <color rgb="FF0070C0"/>
      <sz val="11"/>
    </font>
    <font>
      <name val="Calibri"/>
      <family val="2"/>
      <b val="1"/>
      <i val="1"/>
      <color theme="6" tint="-0.499984740745262"/>
      <sz val="10"/>
    </font>
    <font>
      <name val="Calibri"/>
      <family val="2"/>
      <i val="1"/>
      <sz val="10"/>
    </font>
    <font>
      <name val="Arial"/>
      <family val="2"/>
      <i val="1"/>
      <sz val="8"/>
    </font>
    <font>
      <name val="Arial"/>
      <family val="2"/>
      <b val="1"/>
      <color rgb="FFFF0000"/>
      <sz val="10"/>
    </font>
    <font>
      <name val="Tahoma"/>
      <charset val="1"/>
      <color indexed="81"/>
      <sz val="9"/>
    </font>
    <font>
      <name val="Tahoma"/>
      <charset val="1"/>
      <b val="1"/>
      <color indexed="81"/>
      <sz val="9"/>
    </font>
    <font>
      <name val="Arial"/>
      <sz val="8"/>
    </font>
  </fonts>
  <fills count="32">
    <fill>
      <patternFill/>
    </fill>
    <fill>
      <patternFill patternType="gray125"/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46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rgb="FFFFC000"/>
        <bgColor indexed="64"/>
      </patternFill>
    </fill>
  </fills>
  <borders count="7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46">
    <xf numFmtId="0" fontId="0" fillId="0" borderId="0"/>
    <xf numFmtId="0" fontId="15" fillId="2" borderId="0"/>
    <xf numFmtId="0" fontId="15" fillId="3" borderId="0"/>
    <xf numFmtId="0" fontId="15" fillId="4" borderId="0"/>
    <xf numFmtId="0" fontId="15" fillId="5" borderId="0"/>
    <xf numFmtId="0" fontId="15" fillId="6" borderId="0"/>
    <xf numFmtId="0" fontId="15" fillId="4" borderId="0"/>
    <xf numFmtId="0" fontId="15" fillId="6" borderId="0"/>
    <xf numFmtId="0" fontId="15" fillId="3" borderId="0"/>
    <xf numFmtId="0" fontId="15" fillId="7" borderId="0"/>
    <xf numFmtId="0" fontId="15" fillId="8" borderId="0"/>
    <xf numFmtId="0" fontId="15" fillId="6" borderId="0"/>
    <xf numFmtId="0" fontId="15" fillId="4" borderId="0"/>
    <xf numFmtId="0" fontId="16" fillId="6" borderId="0"/>
    <xf numFmtId="0" fontId="16" fillId="9" borderId="0"/>
    <xf numFmtId="0" fontId="16" fillId="10" borderId="0"/>
    <xf numFmtId="0" fontId="16" fillId="8" borderId="0"/>
    <xf numFmtId="0" fontId="16" fillId="6" borderId="0"/>
    <xf numFmtId="0" fontId="16" fillId="3" borderId="0"/>
    <xf numFmtId="0" fontId="16" fillId="11" borderId="0"/>
    <xf numFmtId="0" fontId="16" fillId="9" borderId="0"/>
    <xf numFmtId="0" fontId="16" fillId="10" borderId="0"/>
    <xf numFmtId="0" fontId="16" fillId="12" borderId="0"/>
    <xf numFmtId="0" fontId="16" fillId="13" borderId="0"/>
    <xf numFmtId="0" fontId="16" fillId="14" borderId="0"/>
    <xf numFmtId="0" fontId="17" fillId="15" borderId="0"/>
    <xf numFmtId="0" fontId="18" fillId="16" borderId="1"/>
    <xf numFmtId="0" fontId="19" fillId="17" borderId="2"/>
    <xf numFmtId="0" fontId="20" fillId="0" borderId="0"/>
    <xf numFmtId="0" fontId="21" fillId="6" borderId="0"/>
    <xf numFmtId="0" fontId="22" fillId="0" borderId="3"/>
    <xf numFmtId="0" fontId="23" fillId="0" borderId="4"/>
    <xf numFmtId="0" fontId="24" fillId="0" borderId="5"/>
    <xf numFmtId="0" fontId="24" fillId="0" borderId="0"/>
    <xf numFmtId="0" fontId="25" fillId="7" borderId="1"/>
    <xf numFmtId="0" fontId="26" fillId="0" borderId="6"/>
    <xf numFmtId="0" fontId="27" fillId="7" borderId="0"/>
    <xf numFmtId="0" fontId="31" fillId="0" borderId="0"/>
    <xf numFmtId="0" fontId="31" fillId="0" borderId="0"/>
    <xf numFmtId="0" fontId="31" fillId="0" borderId="0"/>
    <xf numFmtId="0" fontId="31" fillId="4" borderId="7"/>
    <xf numFmtId="0" fontId="28" fillId="16" borderId="8"/>
    <xf numFmtId="0" fontId="29" fillId="0" borderId="0"/>
    <xf numFmtId="0" fontId="30" fillId="0" borderId="9"/>
    <xf numFmtId="0" fontId="26" fillId="0" borderId="0"/>
    <xf numFmtId="0" fontId="1" fillId="0" borderId="0"/>
  </cellStyleXfs>
  <cellXfs count="461">
    <xf numFmtId="0" fontId="0" fillId="0" borderId="0" pivotButton="0" quotePrefix="0" xfId="0"/>
    <xf numFmtId="0" fontId="5" fillId="0" borderId="0" pivotButton="0" quotePrefix="0" xfId="0"/>
    <xf numFmtId="0" fontId="5" fillId="0" borderId="0" applyAlignment="1" pivotButton="0" quotePrefix="0" xfId="0">
      <alignment vertical="center"/>
    </xf>
    <xf numFmtId="0" fontId="6" fillId="0" borderId="0" applyAlignment="1" pivotButton="0" quotePrefix="0" xfId="0">
      <alignment vertical="center"/>
    </xf>
    <xf numFmtId="0" fontId="10" fillId="0" borderId="0" applyAlignment="1" pivotButton="0" quotePrefix="0" xfId="0">
      <alignment vertical="center"/>
    </xf>
    <xf numFmtId="0" fontId="12" fillId="0" borderId="0" applyAlignment="1" pivotButton="0" quotePrefix="0" xfId="0">
      <alignment vertical="center"/>
    </xf>
    <xf numFmtId="0" fontId="3" fillId="18" borderId="0" applyAlignment="1" applyProtection="1" pivotButton="0" quotePrefix="0" xfId="0">
      <alignment horizontal="centerContinuous" vertical="center"/>
      <protection locked="1" hidden="1"/>
    </xf>
    <xf numFmtId="0" fontId="3" fillId="18" borderId="0" applyAlignment="1" applyProtection="1" pivotButton="0" quotePrefix="0" xfId="0">
      <alignment vertical="center"/>
      <protection locked="1" hidden="1"/>
    </xf>
    <xf numFmtId="0" fontId="3" fillId="18" borderId="0" applyAlignment="1" applyProtection="1" pivotButton="0" quotePrefix="0" xfId="0">
      <alignment horizontal="right" vertical="center"/>
      <protection locked="1" hidden="1"/>
    </xf>
    <xf numFmtId="0" fontId="3" fillId="18" borderId="0" applyAlignment="1" applyProtection="1" pivotButton="0" quotePrefix="0" xfId="37">
      <alignment horizontal="right" vertical="center"/>
      <protection locked="1" hidden="1"/>
    </xf>
    <xf numFmtId="0" fontId="3" fillId="18" borderId="0" applyAlignment="1" applyProtection="1" pivotButton="0" quotePrefix="0" xfId="37">
      <alignment horizontal="centerContinuous" vertical="center"/>
      <protection locked="1" hidden="1"/>
    </xf>
    <xf numFmtId="0" fontId="2" fillId="18" borderId="0" applyAlignment="1" applyProtection="1" pivotButton="0" quotePrefix="0" xfId="37">
      <alignment horizontal="centerContinuous" vertical="center"/>
      <protection locked="1" hidden="1"/>
    </xf>
    <xf numFmtId="0" fontId="3" fillId="18" borderId="0" applyAlignment="1" applyProtection="1" pivotButton="0" quotePrefix="0" xfId="37">
      <alignment vertical="center"/>
      <protection locked="1" hidden="1"/>
    </xf>
    <xf numFmtId="0" fontId="3" fillId="18" borderId="0" applyAlignment="1" applyProtection="1" pivotButton="0" quotePrefix="0" xfId="37">
      <alignment horizontal="left" vertical="center"/>
      <protection locked="1" hidden="1"/>
    </xf>
    <xf numFmtId="0" fontId="3" fillId="0" borderId="10" applyAlignment="1" applyProtection="1" pivotButton="0" quotePrefix="0" xfId="0">
      <alignment horizontal="center" vertical="center"/>
      <protection locked="0" hidden="0"/>
    </xf>
    <xf numFmtId="0" fontId="3" fillId="0" borderId="11" applyAlignment="1" applyProtection="1" pivotButton="0" quotePrefix="0" xfId="0">
      <alignment horizontal="center" vertical="center"/>
      <protection locked="0" hidden="0"/>
    </xf>
    <xf numFmtId="0" fontId="3" fillId="18" borderId="0" applyAlignment="1" applyProtection="1" pivotButton="0" quotePrefix="0" xfId="0">
      <alignment horizontal="center" vertical="center"/>
      <protection locked="1" hidden="1"/>
    </xf>
    <xf numFmtId="0" fontId="3" fillId="18" borderId="0" applyProtection="1" pivotButton="0" quotePrefix="0" xfId="0">
      <protection locked="1" hidden="1"/>
    </xf>
    <xf numFmtId="0" fontId="3" fillId="0" borderId="0" applyAlignment="1" pivotButton="0" quotePrefix="0" xfId="0">
      <alignment vertical="center"/>
    </xf>
    <xf numFmtId="0" fontId="2" fillId="18" borderId="0" applyAlignment="1" applyProtection="1" pivotButton="0" quotePrefix="0" xfId="0">
      <alignment horizontal="centerContinuous" vertical="center"/>
      <protection locked="1" hidden="1"/>
    </xf>
    <xf numFmtId="0" fontId="2" fillId="0" borderId="0" applyAlignment="1" pivotButton="0" quotePrefix="0" xfId="0">
      <alignment vertical="center"/>
    </xf>
    <xf numFmtId="164" fontId="3" fillId="18" borderId="0" applyAlignment="1" applyProtection="1" pivotButton="0" quotePrefix="0" xfId="37">
      <alignment horizontal="center" vertical="center"/>
      <protection locked="1" hidden="1"/>
    </xf>
    <xf numFmtId="0" fontId="3" fillId="18" borderId="0" applyAlignment="1" applyProtection="1" pivotButton="0" quotePrefix="0" xfId="37">
      <alignment horizontal="center" vertical="center"/>
      <protection locked="1" hidden="1"/>
    </xf>
    <xf numFmtId="0" fontId="3" fillId="0" borderId="0" applyAlignment="1" applyProtection="1" pivotButton="0" quotePrefix="0" xfId="37">
      <alignment horizontal="center" vertical="center"/>
      <protection locked="0" hidden="0"/>
    </xf>
    <xf numFmtId="0" fontId="3" fillId="22" borderId="10" applyAlignment="1" applyProtection="1" pivotButton="0" quotePrefix="0" xfId="37">
      <alignment horizontal="center" vertical="center"/>
      <protection locked="1" hidden="1"/>
    </xf>
    <xf numFmtId="165" fontId="3" fillId="0" borderId="12" applyAlignment="1" applyProtection="1" pivotButton="0" quotePrefix="0" xfId="37">
      <alignment horizontal="center" vertical="center"/>
      <protection locked="0" hidden="0"/>
    </xf>
    <xf numFmtId="165" fontId="3" fillId="0" borderId="13" applyAlignment="1" applyProtection="1" pivotButton="0" quotePrefix="0" xfId="37">
      <alignment horizontal="center" vertical="center"/>
      <protection locked="0" hidden="0"/>
    </xf>
    <xf numFmtId="165" fontId="3" fillId="0" borderId="14" applyAlignment="1" applyProtection="1" pivotButton="0" quotePrefix="0" xfId="37">
      <alignment horizontal="center" vertical="center"/>
      <protection locked="0" hidden="0"/>
    </xf>
    <xf numFmtId="0" fontId="3" fillId="0" borderId="0" pivotButton="0" quotePrefix="0" xfId="0"/>
    <xf numFmtId="0" fontId="3" fillId="18" borderId="15" applyAlignment="1" applyProtection="1" pivotButton="0" quotePrefix="0" xfId="0">
      <alignment horizontal="centerContinuous" vertical="center"/>
      <protection locked="1" hidden="1"/>
    </xf>
    <xf numFmtId="0" fontId="3" fillId="18" borderId="16" applyAlignment="1" applyProtection="1" pivotButton="0" quotePrefix="0" xfId="0">
      <alignment horizontal="centerContinuous" vertical="center"/>
      <protection locked="1" hidden="1"/>
    </xf>
    <xf numFmtId="0" fontId="3" fillId="18" borderId="17" applyAlignment="1" applyProtection="1" pivotButton="0" quotePrefix="0" xfId="37">
      <alignment horizontal="centerContinuous" vertical="center"/>
      <protection locked="1" hidden="1"/>
    </xf>
    <xf numFmtId="0" fontId="3" fillId="18" borderId="15" applyAlignment="1" applyProtection="1" pivotButton="0" quotePrefix="0" xfId="37">
      <alignment horizontal="centerContinuous" vertical="center"/>
      <protection locked="1" hidden="1"/>
    </xf>
    <xf numFmtId="0" fontId="3" fillId="18" borderId="18" applyAlignment="1" applyProtection="1" pivotButton="0" quotePrefix="0" xfId="37">
      <alignment horizontal="centerContinuous" vertical="center"/>
      <protection locked="1" hidden="1"/>
    </xf>
    <xf numFmtId="0" fontId="3" fillId="18" borderId="19" applyAlignment="1" applyProtection="1" pivotButton="0" quotePrefix="0" xfId="37">
      <alignment horizontal="centerContinuous" vertical="center"/>
      <protection locked="1" hidden="1"/>
    </xf>
    <xf numFmtId="0" fontId="3" fillId="18" borderId="19" applyAlignment="1" applyProtection="1" pivotButton="0" quotePrefix="0" xfId="37">
      <alignment vertical="center"/>
      <protection locked="1" hidden="1"/>
    </xf>
    <xf numFmtId="0" fontId="9" fillId="18" borderId="18" applyAlignment="1" applyProtection="1" pivotButton="0" quotePrefix="0" xfId="37">
      <alignment horizontal="centerContinuous" vertical="center"/>
      <protection locked="1" hidden="1"/>
    </xf>
    <xf numFmtId="0" fontId="2" fillId="18" borderId="19" applyAlignment="1" applyProtection="1" pivotButton="0" quotePrefix="0" xfId="37">
      <alignment horizontal="centerContinuous" vertical="center"/>
      <protection locked="1" hidden="1"/>
    </xf>
    <xf numFmtId="0" fontId="3" fillId="18" borderId="18" applyAlignment="1" applyProtection="1" pivotButton="0" quotePrefix="0" xfId="37">
      <alignment vertical="center"/>
      <protection locked="1" hidden="1"/>
    </xf>
    <xf numFmtId="0" fontId="3" fillId="18" borderId="20" applyAlignment="1" applyProtection="1" pivotButton="0" quotePrefix="0" xfId="37">
      <alignment vertical="center"/>
      <protection locked="1" hidden="1"/>
    </xf>
    <xf numFmtId="0" fontId="9" fillId="18" borderId="18" applyAlignment="1" applyProtection="1" pivotButton="0" quotePrefix="0" xfId="0">
      <alignment horizontal="centerContinuous" vertical="center"/>
      <protection locked="1" hidden="1"/>
    </xf>
    <xf numFmtId="0" fontId="3" fillId="18" borderId="18" applyAlignment="1" applyProtection="1" pivotButton="0" quotePrefix="0" xfId="0">
      <alignment horizontal="centerContinuous" vertical="center"/>
      <protection locked="1" hidden="1"/>
    </xf>
    <xf numFmtId="0" fontId="3" fillId="18" borderId="19" applyAlignment="1" applyProtection="1" pivotButton="0" quotePrefix="0" xfId="0">
      <alignment vertical="center"/>
      <protection locked="1" hidden="1"/>
    </xf>
    <xf numFmtId="0" fontId="2" fillId="18" borderId="19" applyAlignment="1" applyProtection="1" pivotButton="0" quotePrefix="0" xfId="0">
      <alignment horizontal="centerContinuous" vertical="center"/>
      <protection locked="1" hidden="1"/>
    </xf>
    <xf numFmtId="0" fontId="3" fillId="18" borderId="18" applyAlignment="1" applyProtection="1" pivotButton="0" quotePrefix="0" xfId="0">
      <alignment vertical="center"/>
      <protection locked="1" hidden="1"/>
    </xf>
    <xf numFmtId="0" fontId="3" fillId="18" borderId="15" applyAlignment="1" applyProtection="1" pivotButton="0" quotePrefix="0" xfId="37">
      <alignment vertical="center"/>
      <protection locked="1" hidden="1"/>
    </xf>
    <xf numFmtId="164" fontId="3" fillId="18" borderId="0" applyAlignment="1" applyProtection="1" pivotButton="0" quotePrefix="0" xfId="0">
      <alignment horizontal="center" vertical="center"/>
      <protection locked="1" hidden="1"/>
    </xf>
    <xf numFmtId="0" fontId="3" fillId="23" borderId="0" applyAlignment="1" applyProtection="1" pivotButton="0" quotePrefix="0" xfId="0">
      <alignment horizontal="left" vertical="center"/>
      <protection locked="1" hidden="1"/>
    </xf>
    <xf numFmtId="0" fontId="3" fillId="18" borderId="19" applyAlignment="1" applyProtection="1" pivotButton="0" quotePrefix="0" xfId="0">
      <alignment horizontal="centerContinuous" vertical="center"/>
      <protection locked="1" hidden="1"/>
    </xf>
    <xf numFmtId="0" fontId="3" fillId="23" borderId="0" applyAlignment="1" applyProtection="1" pivotButton="0" quotePrefix="0" xfId="0">
      <alignment horizontal="centerContinuous" vertical="center"/>
      <protection locked="1" hidden="1"/>
    </xf>
    <xf numFmtId="0" fontId="3" fillId="18" borderId="21" applyAlignment="1" applyProtection="1" pivotButton="0" quotePrefix="0" xfId="0">
      <alignment horizontal="left" vertical="center"/>
      <protection locked="1" hidden="1"/>
    </xf>
    <xf numFmtId="0" fontId="3" fillId="18" borderId="20" applyAlignment="1" applyProtection="1" pivotButton="0" quotePrefix="0" xfId="0">
      <alignment vertical="center"/>
      <protection locked="1" hidden="1"/>
    </xf>
    <xf numFmtId="0" fontId="3" fillId="18" borderId="17" applyAlignment="1" applyProtection="1" pivotButton="0" quotePrefix="0" xfId="0">
      <alignment horizontal="centerContinuous"/>
      <protection locked="1" hidden="1"/>
    </xf>
    <xf numFmtId="0" fontId="3" fillId="18" borderId="15" applyAlignment="1" applyProtection="1" pivotButton="0" quotePrefix="0" xfId="0">
      <alignment horizontal="centerContinuous"/>
      <protection locked="1" hidden="1"/>
    </xf>
    <xf numFmtId="0" fontId="3" fillId="18" borderId="18" applyAlignment="1" applyProtection="1" pivotButton="0" quotePrefix="0" xfId="0">
      <alignment horizontal="centerContinuous"/>
      <protection locked="1" hidden="1"/>
    </xf>
    <xf numFmtId="0" fontId="3" fillId="18" borderId="0" applyAlignment="1" applyProtection="1" pivotButton="0" quotePrefix="0" xfId="0">
      <alignment horizontal="centerContinuous"/>
      <protection locked="1" hidden="1"/>
    </xf>
    <xf numFmtId="0" fontId="2" fillId="18" borderId="0" applyAlignment="1" applyProtection="1" pivotButton="0" quotePrefix="0" xfId="0">
      <alignment horizontal="centerContinuous"/>
      <protection locked="1" hidden="1"/>
    </xf>
    <xf numFmtId="0" fontId="3" fillId="18" borderId="19" applyAlignment="1" applyProtection="1" pivotButton="0" quotePrefix="0" xfId="0">
      <alignment horizontal="centerContinuous"/>
      <protection locked="1" hidden="1"/>
    </xf>
    <xf numFmtId="0" fontId="3" fillId="18" borderId="19" applyAlignment="1" applyProtection="1" pivotButton="0" quotePrefix="0" xfId="0">
      <alignment horizontal="right" vertical="center"/>
      <protection locked="1" hidden="1"/>
    </xf>
    <xf numFmtId="166" fontId="3" fillId="18" borderId="19" applyAlignment="1" applyProtection="1" pivotButton="0" quotePrefix="0" xfId="0">
      <alignment horizontal="centerContinuous" vertical="center"/>
      <protection locked="1" hidden="1"/>
    </xf>
    <xf numFmtId="0" fontId="3" fillId="23" borderId="18" applyProtection="1" pivotButton="0" quotePrefix="0" xfId="0">
      <protection locked="1" hidden="1"/>
    </xf>
    <xf numFmtId="0" fontId="3" fillId="0" borderId="23" applyAlignment="1" applyProtection="1" pivotButton="0" quotePrefix="0" xfId="0">
      <alignment horizontal="center" vertical="center"/>
      <protection locked="0" hidden="0"/>
    </xf>
    <xf numFmtId="0" fontId="2" fillId="0" borderId="0" pivotButton="0" quotePrefix="0" xfId="0"/>
    <xf numFmtId="164" fontId="3" fillId="0" borderId="0" pivotButton="0" quotePrefix="0" xfId="0"/>
    <xf numFmtId="164" fontId="3" fillId="0" borderId="0" applyProtection="1" pivotButton="0" quotePrefix="0" xfId="0">
      <protection locked="0" hidden="0"/>
    </xf>
    <xf numFmtId="1" fontId="3" fillId="0" borderId="0" applyProtection="1" pivotButton="0" quotePrefix="0" xfId="0">
      <protection locked="0" hidden="0"/>
    </xf>
    <xf numFmtId="0" fontId="3" fillId="18" borderId="24" applyAlignment="1" pivotButton="0" quotePrefix="0" xfId="0">
      <alignment vertical="center"/>
    </xf>
    <xf numFmtId="0" fontId="3" fillId="18" borderId="21" applyAlignment="1" pivotButton="0" quotePrefix="0" xfId="0">
      <alignment vertical="center"/>
    </xf>
    <xf numFmtId="164" fontId="3" fillId="0" borderId="25" applyAlignment="1" applyProtection="1" pivotButton="0" quotePrefix="0" xfId="0">
      <alignment horizontal="center" vertical="center"/>
      <protection locked="0" hidden="0"/>
    </xf>
    <xf numFmtId="164" fontId="3" fillId="0" borderId="26" applyAlignment="1" applyProtection="1" pivotButton="0" quotePrefix="0" xfId="0">
      <alignment horizontal="center" vertical="center"/>
      <protection locked="0" hidden="0"/>
    </xf>
    <xf numFmtId="0" fontId="2" fillId="18" borderId="0" applyAlignment="1" pivotButton="0" quotePrefix="0" xfId="0">
      <alignment horizontal="centerContinuous" vertical="center"/>
    </xf>
    <xf numFmtId="164" fontId="3" fillId="0" borderId="27" applyAlignment="1" applyProtection="1" pivotButton="0" quotePrefix="0" xfId="0">
      <alignment horizontal="center" vertical="center"/>
      <protection locked="0" hidden="0"/>
    </xf>
    <xf numFmtId="164" fontId="3" fillId="0" borderId="28" applyAlignment="1" applyProtection="1" pivotButton="0" quotePrefix="0" xfId="0">
      <alignment horizontal="center" vertical="center"/>
      <protection locked="0" hidden="0"/>
    </xf>
    <xf numFmtId="164" fontId="3" fillId="0" borderId="29" applyAlignment="1" applyProtection="1" pivotButton="0" quotePrefix="0" xfId="0">
      <alignment horizontal="center" vertical="center"/>
      <protection locked="0" hidden="0"/>
    </xf>
    <xf numFmtId="164" fontId="3" fillId="0" borderId="30" applyAlignment="1" applyProtection="1" pivotButton="0" quotePrefix="0" xfId="0">
      <alignment horizontal="center" vertical="center"/>
      <protection locked="0" hidden="0"/>
    </xf>
    <xf numFmtId="0" fontId="3" fillId="18" borderId="16" applyAlignment="1" applyProtection="1" pivotButton="0" quotePrefix="0" xfId="37">
      <alignment vertical="center"/>
      <protection locked="1" hidden="1"/>
    </xf>
    <xf numFmtId="0" fontId="32" fillId="18" borderId="0" applyAlignment="1" applyProtection="1" pivotButton="0" quotePrefix="0" xfId="37">
      <alignment horizontal="centerContinuous" vertical="center"/>
      <protection locked="1" hidden="1"/>
    </xf>
    <xf numFmtId="0" fontId="11" fillId="18" borderId="19" applyAlignment="1" applyProtection="1" pivotButton="0" quotePrefix="0" xfId="37">
      <alignment horizontal="centerContinuous" vertical="center"/>
      <protection locked="1" hidden="1"/>
    </xf>
    <xf numFmtId="0" fontId="33" fillId="18" borderId="0" applyAlignment="1" applyProtection="1" pivotButton="0" quotePrefix="0" xfId="37">
      <alignment horizontal="centerContinuous" vertical="center"/>
      <protection locked="1" hidden="1"/>
    </xf>
    <xf numFmtId="0" fontId="3" fillId="22" borderId="31" applyAlignment="1" applyProtection="1" pivotButton="0" quotePrefix="0" xfId="37">
      <alignment horizontal="center" vertical="center"/>
      <protection locked="1" hidden="1"/>
    </xf>
    <xf numFmtId="0" fontId="3" fillId="20" borderId="10" applyAlignment="1" applyProtection="1" pivotButton="0" quotePrefix="0" xfId="37">
      <alignment horizontal="center" vertical="center"/>
      <protection locked="1" hidden="1"/>
    </xf>
    <xf numFmtId="0" fontId="3" fillId="21" borderId="10" applyAlignment="1" applyProtection="1" pivotButton="0" quotePrefix="0" xfId="37">
      <alignment horizontal="center" vertical="center"/>
      <protection locked="1" hidden="1"/>
    </xf>
    <xf numFmtId="2" fontId="3" fillId="22" borderId="25" applyAlignment="1" applyProtection="1" pivotButton="0" quotePrefix="0" xfId="37">
      <alignment horizontal="center" vertical="center"/>
      <protection locked="1" hidden="1"/>
    </xf>
    <xf numFmtId="2" fontId="3" fillId="22" borderId="28" applyAlignment="1" applyProtection="1" pivotButton="0" quotePrefix="0" xfId="37">
      <alignment horizontal="center" vertical="center"/>
      <protection locked="1" hidden="1"/>
    </xf>
    <xf numFmtId="2" fontId="3" fillId="22" borderId="32" applyAlignment="1" applyProtection="1" pivotButton="0" quotePrefix="0" xfId="37">
      <alignment horizontal="center" vertical="center"/>
      <protection locked="1" hidden="1"/>
    </xf>
    <xf numFmtId="2" fontId="3" fillId="24" borderId="33" applyAlignment="1" applyProtection="1" pivotButton="0" quotePrefix="0" xfId="37">
      <alignment horizontal="center" vertical="center"/>
      <protection locked="1" hidden="1"/>
    </xf>
    <xf numFmtId="2" fontId="3" fillId="22" borderId="33" applyAlignment="1" applyProtection="1" pivotButton="0" quotePrefix="0" xfId="37">
      <alignment horizontal="center" vertical="center"/>
      <protection locked="1" hidden="1"/>
    </xf>
    <xf numFmtId="2" fontId="3" fillId="22" borderId="34" applyAlignment="1" applyProtection="1" pivotButton="0" quotePrefix="0" xfId="37">
      <alignment horizontal="center" vertical="center"/>
      <protection locked="1" hidden="1"/>
    </xf>
    <xf numFmtId="0" fontId="3" fillId="20" borderId="0" applyAlignment="1" applyProtection="1" pivotButton="0" quotePrefix="0" xfId="37">
      <alignment horizontal="right" vertical="center"/>
      <protection locked="1" hidden="1"/>
    </xf>
    <xf numFmtId="2" fontId="3" fillId="24" borderId="0" applyAlignment="1" applyProtection="1" pivotButton="0" quotePrefix="0" xfId="37">
      <alignment horizontal="center" vertical="center"/>
      <protection locked="1" hidden="1"/>
    </xf>
    <xf numFmtId="0" fontId="3" fillId="18" borderId="24" applyAlignment="1" pivotButton="0" quotePrefix="0" xfId="37">
      <alignment vertical="center"/>
    </xf>
    <xf numFmtId="0" fontId="3" fillId="18" borderId="21" applyAlignment="1" pivotButton="0" quotePrefix="0" xfId="37">
      <alignment vertical="center"/>
    </xf>
    <xf numFmtId="0" fontId="3" fillId="18" borderId="21" applyAlignment="1" applyProtection="1" pivotButton="0" quotePrefix="0" xfId="37">
      <alignment horizontal="left" vertical="center"/>
      <protection locked="1" hidden="1"/>
    </xf>
    <xf numFmtId="0" fontId="3" fillId="18" borderId="15" applyProtection="1" pivotButton="0" quotePrefix="0" xfId="0">
      <protection locked="1" hidden="1"/>
    </xf>
    <xf numFmtId="0" fontId="3" fillId="18" borderId="16" applyProtection="1" pivotButton="0" quotePrefix="0" xfId="0">
      <protection locked="1" hidden="1"/>
    </xf>
    <xf numFmtId="0" fontId="3" fillId="18" borderId="19" applyProtection="1" pivotButton="0" quotePrefix="0" xfId="0">
      <protection locked="1" hidden="1"/>
    </xf>
    <xf numFmtId="0" fontId="3" fillId="18" borderId="0" applyAlignment="1" applyProtection="1" pivotButton="0" quotePrefix="0" xfId="0">
      <alignment horizontal="right"/>
      <protection locked="1" hidden="1"/>
    </xf>
    <xf numFmtId="0" fontId="9" fillId="18" borderId="18" applyAlignment="1" applyProtection="1" pivotButton="0" quotePrefix="0" xfId="0">
      <alignment horizontal="centerContinuous"/>
      <protection locked="1" hidden="1"/>
    </xf>
    <xf numFmtId="0" fontId="2" fillId="18" borderId="19" applyAlignment="1" applyProtection="1" pivotButton="0" quotePrefix="0" xfId="0">
      <alignment horizontal="centerContinuous"/>
      <protection locked="1" hidden="1"/>
    </xf>
    <xf numFmtId="0" fontId="3" fillId="25" borderId="32" applyAlignment="1" applyProtection="1" pivotButton="0" quotePrefix="0" xfId="0">
      <alignment horizontal="center" vertical="center"/>
      <protection locked="1" hidden="1"/>
    </xf>
    <xf numFmtId="0" fontId="3" fillId="19" borderId="35" applyAlignment="1" applyProtection="1" pivotButton="0" quotePrefix="0" xfId="0">
      <alignment horizontal="center" vertical="center"/>
      <protection locked="1" hidden="1"/>
    </xf>
    <xf numFmtId="0" fontId="3" fillId="25" borderId="36" applyAlignment="1" applyProtection="1" pivotButton="0" quotePrefix="0" xfId="0">
      <alignment horizontal="center" vertical="center"/>
      <protection locked="1" hidden="1"/>
    </xf>
    <xf numFmtId="164" fontId="3" fillId="25" borderId="12" applyAlignment="1" applyProtection="1" pivotButton="0" quotePrefix="0" xfId="0">
      <alignment horizontal="center" vertical="center"/>
      <protection locked="1" hidden="1"/>
    </xf>
    <xf numFmtId="164" fontId="3" fillId="25" borderId="13" applyAlignment="1" applyProtection="1" pivotButton="0" quotePrefix="0" xfId="0">
      <alignment horizontal="center" vertical="center"/>
      <protection locked="1" hidden="1"/>
    </xf>
    <xf numFmtId="164" fontId="3" fillId="25" borderId="37" applyAlignment="1" applyProtection="1" pivotButton="0" quotePrefix="0" xfId="0">
      <alignment horizontal="center" vertical="center"/>
      <protection locked="1" hidden="1"/>
    </xf>
    <xf numFmtId="164" fontId="3" fillId="25" borderId="14" applyAlignment="1" applyProtection="1" pivotButton="0" quotePrefix="0" xfId="0">
      <alignment horizontal="center" vertical="center"/>
      <protection locked="1" hidden="1"/>
    </xf>
    <xf numFmtId="0" fontId="3" fillId="22" borderId="29" applyAlignment="1" applyProtection="1" pivotButton="0" quotePrefix="0" xfId="0">
      <alignment horizontal="center" vertical="center"/>
      <protection locked="0" hidden="0"/>
    </xf>
    <xf numFmtId="2" fontId="3" fillId="0" borderId="12" applyAlignment="1" applyProtection="1" pivotButton="0" quotePrefix="0" xfId="0">
      <alignment horizontal="center" vertical="center"/>
      <protection locked="0" hidden="0"/>
    </xf>
    <xf numFmtId="2" fontId="3" fillId="0" borderId="13" applyAlignment="1" applyProtection="1" pivotButton="0" quotePrefix="0" xfId="0">
      <alignment horizontal="center" vertical="center"/>
      <protection locked="0" hidden="0"/>
    </xf>
    <xf numFmtId="2" fontId="3" fillId="0" borderId="14" applyAlignment="1" applyProtection="1" pivotButton="0" quotePrefix="0" xfId="0">
      <alignment horizontal="center" vertical="center"/>
      <protection locked="0" hidden="0"/>
    </xf>
    <xf numFmtId="164" fontId="0" fillId="18" borderId="0" applyAlignment="1" applyProtection="1" pivotButton="0" quotePrefix="0" xfId="0">
      <alignment horizontal="right" vertical="center"/>
      <protection locked="1" hidden="1"/>
    </xf>
    <xf numFmtId="0" fontId="0" fillId="26" borderId="0" applyAlignment="1" applyProtection="1" pivotButton="0" quotePrefix="0" xfId="0">
      <alignment horizontal="left" vertical="center"/>
      <protection locked="1" hidden="1"/>
    </xf>
    <xf numFmtId="0" fontId="3" fillId="26" borderId="0" applyAlignment="1" applyProtection="1" pivotButton="0" quotePrefix="0" xfId="0">
      <alignment horizontal="left" vertical="center"/>
      <protection locked="1" hidden="1"/>
    </xf>
    <xf numFmtId="0" fontId="3" fillId="18" borderId="21" pivotButton="0" quotePrefix="0" xfId="0"/>
    <xf numFmtId="0" fontId="3" fillId="18" borderId="24" pivotButton="0" quotePrefix="0" xfId="0"/>
    <xf numFmtId="0" fontId="3" fillId="18" borderId="19" applyAlignment="1" applyProtection="1" pivotButton="0" quotePrefix="0" xfId="0">
      <alignment horizontal="left" vertical="center"/>
      <protection locked="1" hidden="1"/>
    </xf>
    <xf numFmtId="164" fontId="3" fillId="25" borderId="39" applyAlignment="1" applyProtection="1" pivotButton="0" quotePrefix="0" xfId="0">
      <alignment horizontal="center" vertical="center"/>
      <protection locked="1" hidden="1"/>
    </xf>
    <xf numFmtId="0" fontId="4" fillId="18" borderId="19" applyProtection="1" pivotButton="0" quotePrefix="0" xfId="0">
      <protection locked="1" hidden="1"/>
    </xf>
    <xf numFmtId="0" fontId="4" fillId="18" borderId="0" applyProtection="1" pivotButton="0" quotePrefix="0" xfId="0">
      <protection locked="1" hidden="1"/>
    </xf>
    <xf numFmtId="0" fontId="4" fillId="18" borderId="0" applyAlignment="1" applyProtection="1" pivotButton="0" quotePrefix="0" xfId="0">
      <alignment horizontal="centerContinuous"/>
      <protection locked="1" hidden="1"/>
    </xf>
    <xf numFmtId="0" fontId="36" fillId="18" borderId="0" applyAlignment="1" applyProtection="1" pivotButton="0" quotePrefix="0" xfId="0">
      <alignment horizontal="centerContinuous"/>
      <protection locked="1" hidden="1"/>
    </xf>
    <xf numFmtId="0" fontId="8" fillId="18" borderId="0" applyAlignment="1" applyProtection="1" pivotButton="0" quotePrefix="0" xfId="0">
      <alignment horizontal="centerContinuous"/>
      <protection locked="1" hidden="1"/>
    </xf>
    <xf numFmtId="0" fontId="4" fillId="18" borderId="18" applyAlignment="1" applyProtection="1" pivotButton="0" quotePrefix="0" xfId="0">
      <alignment horizontal="centerContinuous"/>
      <protection locked="1" hidden="1"/>
    </xf>
    <xf numFmtId="0" fontId="37" fillId="19" borderId="40" applyAlignment="1" applyProtection="1" pivotButton="0" quotePrefix="0" xfId="0">
      <alignment horizontal="center" vertical="center"/>
      <protection locked="1" hidden="1"/>
    </xf>
    <xf numFmtId="0" fontId="37" fillId="19" borderId="41" applyAlignment="1" applyProtection="1" pivotButton="0" quotePrefix="0" xfId="0">
      <alignment horizontal="center" vertical="center"/>
      <protection locked="0" hidden="0"/>
    </xf>
    <xf numFmtId="0" fontId="3" fillId="18" borderId="0" applyAlignment="1" applyProtection="1" pivotButton="0" quotePrefix="0" xfId="0">
      <alignment horizontal="left" vertical="center"/>
      <protection locked="1" hidden="1"/>
    </xf>
    <xf numFmtId="2" fontId="31" fillId="22" borderId="25" applyAlignment="1" applyProtection="1" pivotButton="0" quotePrefix="0" xfId="37">
      <alignment horizontal="center" vertical="center"/>
      <protection locked="1" hidden="1"/>
    </xf>
    <xf numFmtId="0" fontId="3" fillId="22" borderId="42" applyAlignment="1" applyProtection="1" pivotButton="0" quotePrefix="0" xfId="0">
      <alignment horizontal="center" vertical="center"/>
      <protection locked="1" hidden="1"/>
    </xf>
    <xf numFmtId="0" fontId="3" fillId="22" borderId="42" applyAlignment="1" applyProtection="1" pivotButton="0" quotePrefix="0" xfId="0">
      <alignment horizontal="center" vertical="center"/>
      <protection locked="0" hidden="0"/>
    </xf>
    <xf numFmtId="164" fontId="39" fillId="22" borderId="10" applyAlignment="1" applyProtection="1" pivotButton="0" quotePrefix="0" xfId="0">
      <alignment horizontal="center" vertical="center"/>
      <protection locked="1" hidden="1"/>
    </xf>
    <xf numFmtId="164" fontId="3" fillId="22" borderId="43" applyAlignment="1" applyProtection="1" pivotButton="0" quotePrefix="0" xfId="0">
      <alignment horizontal="center" vertical="center"/>
      <protection locked="1" hidden="1"/>
    </xf>
    <xf numFmtId="164" fontId="39" fillId="22" borderId="35" applyAlignment="1" applyProtection="1" pivotButton="0" quotePrefix="0" xfId="0">
      <alignment horizontal="center" vertical="center"/>
      <protection locked="1" hidden="1"/>
    </xf>
    <xf numFmtId="0" fontId="3" fillId="22" borderId="31" applyAlignment="1" applyProtection="1" pivotButton="0" quotePrefix="0" xfId="0">
      <alignment horizontal="center" vertical="center"/>
      <protection locked="1" hidden="1"/>
    </xf>
    <xf numFmtId="164" fontId="3" fillId="22" borderId="10" applyAlignment="1" applyProtection="1" pivotButton="0" quotePrefix="0" xfId="0">
      <alignment horizontal="center" vertical="center"/>
      <protection locked="1" hidden="1"/>
    </xf>
    <xf numFmtId="2" fontId="3" fillId="0" borderId="23" applyAlignment="1" applyProtection="1" pivotButton="0" quotePrefix="0" xfId="0">
      <alignment horizontal="center" vertical="center"/>
      <protection locked="1" hidden="1"/>
    </xf>
    <xf numFmtId="2" fontId="3" fillId="0" borderId="41" applyAlignment="1" applyProtection="1" pivotButton="0" quotePrefix="0" xfId="0">
      <alignment horizontal="center" vertical="center"/>
      <protection locked="1" hidden="1"/>
    </xf>
    <xf numFmtId="2" fontId="3" fillId="0" borderId="44" applyAlignment="1" applyProtection="1" pivotButton="0" quotePrefix="0" xfId="0">
      <alignment horizontal="center" vertical="center"/>
      <protection locked="1" hidden="1"/>
    </xf>
    <xf numFmtId="2" fontId="3" fillId="0" borderId="40" applyAlignment="1" applyProtection="1" pivotButton="0" quotePrefix="0" xfId="0">
      <alignment horizontal="center" vertical="center"/>
      <protection locked="1" hidden="1"/>
    </xf>
    <xf numFmtId="2" fontId="3" fillId="0" borderId="11" applyAlignment="1" applyProtection="1" pivotButton="0" quotePrefix="0" xfId="0">
      <alignment horizontal="center" vertical="center"/>
      <protection locked="1" hidden="1"/>
    </xf>
    <xf numFmtId="0" fontId="3" fillId="18" borderId="21" applyAlignment="1" applyProtection="1" pivotButton="0" quotePrefix="0" xfId="0">
      <alignment vertical="center"/>
      <protection locked="1" hidden="1"/>
    </xf>
    <xf numFmtId="0" fontId="42" fillId="0" borderId="0" applyAlignment="1" applyProtection="1" pivotButton="0" quotePrefix="0" xfId="0">
      <alignment vertical="center"/>
      <protection locked="1" hidden="1"/>
    </xf>
    <xf numFmtId="0" fontId="12" fillId="0" borderId="0" applyAlignment="1" applyProtection="1" pivotButton="0" quotePrefix="0" xfId="0">
      <alignment vertical="center"/>
      <protection locked="1" hidden="1"/>
    </xf>
    <xf numFmtId="167" fontId="12" fillId="0" borderId="0" applyAlignment="1" applyProtection="1" pivotButton="0" quotePrefix="0" xfId="0">
      <alignment vertical="center"/>
      <protection locked="0" hidden="0"/>
    </xf>
    <xf numFmtId="0" fontId="12" fillId="0" borderId="0" applyAlignment="1" applyProtection="1" pivotButton="0" quotePrefix="0" xfId="0">
      <alignment horizontal="right" vertical="center"/>
      <protection locked="1" hidden="1"/>
    </xf>
    <xf numFmtId="167" fontId="12" fillId="0" borderId="0" applyAlignment="1" applyProtection="1" pivotButton="0" quotePrefix="0" xfId="0">
      <alignment horizontal="center" vertical="center"/>
      <protection locked="0" hidden="0"/>
    </xf>
    <xf numFmtId="0" fontId="3" fillId="23" borderId="0" applyAlignment="1" applyProtection="1" pivotButton="0" quotePrefix="0" xfId="37">
      <alignment horizontal="center" vertical="center"/>
      <protection locked="0" hidden="0"/>
    </xf>
    <xf numFmtId="0" fontId="43" fillId="0" borderId="0" applyAlignment="1" applyProtection="1" pivotButton="0" quotePrefix="0" xfId="0">
      <alignment vertical="center"/>
      <protection locked="1" hidden="1"/>
    </xf>
    <xf numFmtId="0" fontId="43" fillId="0" borderId="0" applyAlignment="1" pivotButton="0" quotePrefix="0" xfId="0">
      <alignment vertical="center"/>
    </xf>
    <xf numFmtId="167" fontId="43" fillId="0" borderId="0" applyAlignment="1" applyProtection="1" pivotButton="0" quotePrefix="0" xfId="0">
      <alignment horizontal="left" vertical="center"/>
      <protection locked="0" hidden="0"/>
    </xf>
    <xf numFmtId="167" fontId="43" fillId="0" borderId="0" applyAlignment="1" applyProtection="1" pivotButton="0" quotePrefix="0" xfId="0">
      <alignment horizontal="left" vertical="center"/>
      <protection locked="1" hidden="1"/>
    </xf>
    <xf numFmtId="0" fontId="43" fillId="0" borderId="0" applyAlignment="1" applyProtection="1" pivotButton="0" quotePrefix="0" xfId="0">
      <alignment horizontal="left" vertical="center"/>
      <protection locked="1" hidden="1"/>
    </xf>
    <xf numFmtId="0" fontId="43" fillId="0" borderId="0" applyAlignment="1" pivotButton="0" quotePrefix="0" xfId="0">
      <alignment horizontal="left" vertical="center"/>
    </xf>
    <xf numFmtId="1" fontId="43" fillId="0" borderId="0" applyAlignment="1" applyProtection="1" pivotButton="0" quotePrefix="0" xfId="0">
      <alignment horizontal="left" vertical="center"/>
      <protection locked="0" hidden="0"/>
    </xf>
    <xf numFmtId="1" fontId="3" fillId="0" borderId="10" applyAlignment="1" applyProtection="1" pivotButton="0" quotePrefix="0" xfId="37">
      <alignment horizontal="center" vertical="center"/>
      <protection locked="0" hidden="0"/>
    </xf>
    <xf numFmtId="1" fontId="3" fillId="0" borderId="10" applyAlignment="1" applyProtection="1" pivotButton="0" quotePrefix="0" xfId="0">
      <alignment horizontal="center" vertical="center"/>
      <protection locked="0" hidden="0"/>
    </xf>
    <xf numFmtId="167" fontId="3" fillId="0" borderId="10" applyAlignment="1" applyProtection="1" pivotButton="0" quotePrefix="0" xfId="0">
      <alignment vertical="center"/>
      <protection locked="0" hidden="0"/>
    </xf>
    <xf numFmtId="0" fontId="0" fillId="23" borderId="0" pivotButton="0" quotePrefix="0" xfId="0"/>
    <xf numFmtId="0" fontId="9" fillId="18" borderId="0" applyAlignment="1" applyProtection="1" pivotButton="0" quotePrefix="0" xfId="0">
      <alignment horizontal="centerContinuous" vertical="center"/>
      <protection locked="1" hidden="1"/>
    </xf>
    <xf numFmtId="0" fontId="0" fillId="23" borderId="17" pivotButton="0" quotePrefix="0" xfId="0"/>
    <xf numFmtId="0" fontId="0" fillId="23" borderId="18" pivotButton="0" quotePrefix="0" xfId="0"/>
    <xf numFmtId="0" fontId="0" fillId="23" borderId="24" pivotButton="0" quotePrefix="0" xfId="0"/>
    <xf numFmtId="0" fontId="3" fillId="22" borderId="10" applyAlignment="1" applyProtection="1" pivotButton="0" quotePrefix="0" xfId="0">
      <alignment horizontal="center" vertical="center"/>
      <protection locked="1" hidden="1"/>
    </xf>
    <xf numFmtId="0" fontId="3" fillId="0" borderId="45" applyAlignment="1" applyProtection="1" pivotButton="0" quotePrefix="0" xfId="0">
      <alignment horizontal="center" vertical="center"/>
      <protection locked="0" hidden="0"/>
    </xf>
    <xf numFmtId="0" fontId="3" fillId="0" borderId="46" applyAlignment="1" applyProtection="1" pivotButton="0" quotePrefix="0" xfId="0">
      <alignment horizontal="center" vertical="center"/>
      <protection locked="0" hidden="0"/>
    </xf>
    <xf numFmtId="0" fontId="3" fillId="0" borderId="47" applyAlignment="1" applyProtection="1" pivotButton="0" quotePrefix="0" xfId="0">
      <alignment horizontal="center" vertical="center"/>
      <protection locked="0" hidden="0"/>
    </xf>
    <xf numFmtId="0" fontId="3" fillId="22" borderId="23" applyAlignment="1" applyProtection="1" pivotButton="0" quotePrefix="0" xfId="0">
      <alignment horizontal="center" vertical="center"/>
      <protection locked="1" hidden="1"/>
    </xf>
    <xf numFmtId="0" fontId="3" fillId="22" borderId="44" applyAlignment="1" applyProtection="1" pivotButton="0" quotePrefix="0" xfId="0">
      <alignment horizontal="center" vertical="center"/>
      <protection locked="1" hidden="1"/>
    </xf>
    <xf numFmtId="0" fontId="3" fillId="22" borderId="11" applyAlignment="1" applyProtection="1" pivotButton="0" quotePrefix="0" xfId="0">
      <alignment horizontal="center" vertical="center"/>
      <protection locked="1" hidden="1"/>
    </xf>
    <xf numFmtId="0" fontId="40" fillId="18" borderId="0" applyAlignment="1" applyProtection="1" pivotButton="0" quotePrefix="0" xfId="37">
      <alignment vertical="center"/>
      <protection locked="1" hidden="1"/>
    </xf>
    <xf numFmtId="0" fontId="39" fillId="0" borderId="0" applyAlignment="1" applyProtection="1" pivotButton="0" quotePrefix="0" xfId="37">
      <alignment vertical="center"/>
      <protection locked="0" hidden="0"/>
    </xf>
    <xf numFmtId="168" fontId="39" fillId="0" borderId="0" applyAlignment="1" applyProtection="1" pivotButton="0" quotePrefix="0" xfId="37">
      <alignment vertical="center"/>
      <protection locked="0" hidden="0"/>
    </xf>
    <xf numFmtId="0" fontId="43" fillId="0" borderId="0" applyAlignment="1" applyProtection="1" pivotButton="0" quotePrefix="0" xfId="0">
      <alignment vertical="center"/>
      <protection locked="0" hidden="0"/>
    </xf>
    <xf numFmtId="0" fontId="43" fillId="0" borderId="0" applyAlignment="1" applyProtection="1" pivotButton="0" quotePrefix="0" xfId="0">
      <alignment horizontal="left" vertical="center"/>
      <protection locked="0" hidden="0"/>
    </xf>
    <xf numFmtId="0" fontId="46" fillId="0" borderId="0" applyAlignment="1" pivotButton="0" quotePrefix="0" xfId="0">
      <alignment horizontal="left"/>
    </xf>
    <xf numFmtId="0" fontId="40" fillId="18" borderId="26" applyAlignment="1" applyProtection="1" pivotButton="0" quotePrefix="0" xfId="37">
      <alignment vertical="center"/>
      <protection locked="1" hidden="1"/>
    </xf>
    <xf numFmtId="0" fontId="39" fillId="0" borderId="26" applyAlignment="1" applyProtection="1" pivotButton="0" quotePrefix="0" xfId="37">
      <alignment vertical="center"/>
      <protection locked="1" hidden="1"/>
    </xf>
    <xf numFmtId="17" fontId="39" fillId="0" borderId="26" applyAlignment="1" applyProtection="1" pivotButton="0" quotePrefix="0" xfId="37">
      <alignment vertical="center"/>
      <protection locked="1" hidden="1"/>
    </xf>
    <xf numFmtId="0" fontId="39" fillId="0" borderId="26" applyAlignment="1" applyProtection="1" pivotButton="0" quotePrefix="0" xfId="37">
      <alignment horizontal="center" vertical="center"/>
      <protection locked="1" hidden="1"/>
    </xf>
    <xf numFmtId="168" fontId="39" fillId="0" borderId="26" applyAlignment="1" applyProtection="1" pivotButton="0" quotePrefix="0" xfId="37">
      <alignment horizontal="center" vertical="center"/>
      <protection locked="0" hidden="0"/>
    </xf>
    <xf numFmtId="0" fontId="3" fillId="0" borderId="0" applyAlignment="1" pivotButton="0" quotePrefix="0" xfId="0">
      <alignment horizontal="center"/>
    </xf>
    <xf numFmtId="0" fontId="3" fillId="0" borderId="0" applyAlignment="1" pivotButton="0" quotePrefix="0" xfId="0">
      <alignment vertical="center"/>
    </xf>
    <xf numFmtId="0" fontId="3" fillId="0" borderId="22" applyAlignment="1" applyProtection="1" pivotButton="0" quotePrefix="0" xfId="0">
      <alignment horizontal="center" vertical="center"/>
      <protection locked="0" hidden="0"/>
    </xf>
    <xf numFmtId="0" fontId="3" fillId="0" borderId="0" applyAlignment="1" applyProtection="1" pivotButton="0" quotePrefix="0" xfId="37">
      <alignment horizontal="centerContinuous" vertical="center"/>
      <protection locked="1" hidden="1"/>
    </xf>
    <xf numFmtId="0" fontId="3" fillId="0" borderId="0" pivotButton="0" quotePrefix="0" xfId="37"/>
    <xf numFmtId="0" fontId="3" fillId="0" borderId="0" applyAlignment="1" applyProtection="1" pivotButton="0" quotePrefix="0" xfId="37">
      <alignment vertical="center"/>
      <protection locked="1" hidden="1"/>
    </xf>
    <xf numFmtId="0" fontId="3" fillId="0" borderId="0" applyAlignment="1" applyProtection="1" pivotButton="0" quotePrefix="0" xfId="37">
      <alignment horizontal="right" vertical="center"/>
      <protection locked="1" hidden="1"/>
    </xf>
    <xf numFmtId="0" fontId="3" fillId="0" borderId="0" applyAlignment="1" applyProtection="1" pivotButton="0" quotePrefix="0" xfId="37">
      <alignment horizontal="center" vertical="center"/>
      <protection locked="1" hidden="1"/>
    </xf>
    <xf numFmtId="0" fontId="3" fillId="0" borderId="0" applyAlignment="1" pivotButton="0" quotePrefix="0" xfId="37">
      <alignment vertical="center"/>
    </xf>
    <xf numFmtId="0" fontId="13" fillId="0" borderId="0" applyAlignment="1" applyProtection="1" pivotButton="0" quotePrefix="0" xfId="37">
      <alignment horizontal="center" vertical="center"/>
      <protection locked="0" hidden="0"/>
    </xf>
    <xf numFmtId="0" fontId="53" fillId="0" borderId="10" applyAlignment="1" applyProtection="1" pivotButton="0" quotePrefix="0" xfId="37">
      <alignment horizontal="center" vertical="center"/>
      <protection locked="1" hidden="1"/>
    </xf>
    <xf numFmtId="0" fontId="51" fillId="0" borderId="0" applyAlignment="1" applyProtection="1" pivotButton="0" quotePrefix="0" xfId="37">
      <alignment horizontal="center" vertical="center"/>
      <protection locked="1" hidden="1"/>
    </xf>
    <xf numFmtId="0" fontId="51" fillId="0" borderId="0" applyAlignment="1" applyProtection="1" pivotButton="0" quotePrefix="0" xfId="37">
      <alignment horizontal="centerContinuous" vertical="center"/>
      <protection locked="1" hidden="1"/>
    </xf>
    <xf numFmtId="0" fontId="51" fillId="0" borderId="0" applyAlignment="1" pivotButton="0" quotePrefix="0" xfId="37">
      <alignment vertical="center"/>
    </xf>
    <xf numFmtId="0" fontId="3" fillId="0" borderId="23" applyAlignment="1" applyProtection="1" pivotButton="0" quotePrefix="0" xfId="37">
      <alignment horizontal="center" vertical="center"/>
      <protection locked="1" hidden="1"/>
    </xf>
    <xf numFmtId="0" fontId="3" fillId="0" borderId="35" applyAlignment="1" applyProtection="1" pivotButton="0" quotePrefix="0" xfId="37">
      <alignment horizontal="center" vertical="center"/>
      <protection locked="1" hidden="1"/>
    </xf>
    <xf numFmtId="0" fontId="59" fillId="0" borderId="10" applyAlignment="1" applyProtection="1" pivotButton="0" quotePrefix="0" xfId="37">
      <alignment horizontal="center" vertical="center"/>
      <protection locked="1" hidden="1"/>
    </xf>
    <xf numFmtId="0" fontId="60" fillId="29" borderId="23" applyAlignment="1" applyProtection="1" pivotButton="0" quotePrefix="0" xfId="37">
      <alignment horizontal="center" vertical="center"/>
      <protection locked="0" hidden="0"/>
    </xf>
    <xf numFmtId="0" fontId="3" fillId="0" borderId="44" applyAlignment="1" applyProtection="1" pivotButton="0" quotePrefix="0" xfId="37">
      <alignment horizontal="center" vertical="center"/>
      <protection locked="1" hidden="1"/>
    </xf>
    <xf numFmtId="0" fontId="3" fillId="0" borderId="23" applyAlignment="1" applyProtection="1" pivotButton="0" quotePrefix="0" xfId="37">
      <alignment horizontal="center" vertical="center"/>
      <protection locked="0" hidden="0"/>
    </xf>
    <xf numFmtId="0" fontId="51" fillId="0" borderId="0" applyAlignment="1" applyProtection="1" pivotButton="0" quotePrefix="0" xfId="37">
      <alignment vertical="center"/>
      <protection locked="1" hidden="1"/>
    </xf>
    <xf numFmtId="0" fontId="51" fillId="0" borderId="44" applyAlignment="1" applyProtection="1" pivotButton="0" quotePrefix="0" xfId="37">
      <alignment horizontal="center" vertical="center"/>
      <protection locked="1" hidden="1"/>
    </xf>
    <xf numFmtId="0" fontId="51" fillId="0" borderId="0" applyAlignment="1" applyProtection="1" pivotButton="0" quotePrefix="0" xfId="37">
      <alignment horizontal="center" vertical="center"/>
      <protection locked="0" hidden="0"/>
    </xf>
    <xf numFmtId="0" fontId="3" fillId="0" borderId="44" applyAlignment="1" applyProtection="1" pivotButton="0" quotePrefix="0" xfId="37">
      <alignment horizontal="center" vertical="center"/>
      <protection locked="0" hidden="0"/>
    </xf>
    <xf numFmtId="0" fontId="64" fillId="0" borderId="10" applyAlignment="1" applyProtection="1" pivotButton="0" quotePrefix="0" xfId="37">
      <alignment horizontal="center" vertical="center"/>
      <protection locked="1" hidden="1"/>
    </xf>
    <xf numFmtId="0" fontId="60" fillId="29" borderId="44" applyAlignment="1" applyProtection="1" pivotButton="0" quotePrefix="0" xfId="37">
      <alignment horizontal="center" vertical="center"/>
      <protection locked="0" hidden="0"/>
    </xf>
    <xf numFmtId="0" fontId="45" fillId="0" borderId="0" applyAlignment="1" pivotButton="0" quotePrefix="0" xfId="37">
      <alignment vertical="center"/>
    </xf>
    <xf numFmtId="0" fontId="3" fillId="0" borderId="0" applyAlignment="1" applyProtection="1" pivotButton="0" quotePrefix="0" xfId="37">
      <alignment vertical="center"/>
      <protection locked="0" hidden="0"/>
    </xf>
    <xf numFmtId="0" fontId="3" fillId="0" borderId="11" applyAlignment="1" applyProtection="1" pivotButton="0" quotePrefix="0" xfId="37">
      <alignment horizontal="center" vertical="center"/>
      <protection locked="1" hidden="1"/>
    </xf>
    <xf numFmtId="0" fontId="3" fillId="0" borderId="0" applyAlignment="1" applyProtection="1" pivotButton="0" quotePrefix="0" xfId="37">
      <alignment horizontal="left" vertical="center"/>
      <protection locked="1" hidden="1"/>
    </xf>
    <xf numFmtId="169" fontId="3" fillId="0" borderId="0" applyAlignment="1" applyProtection="1" pivotButton="0" quotePrefix="0" xfId="37">
      <alignment horizontal="center" vertical="center"/>
      <protection locked="1" hidden="1"/>
    </xf>
    <xf numFmtId="170" fontId="3" fillId="0" borderId="0" applyAlignment="1" applyProtection="1" pivotButton="0" quotePrefix="0" xfId="37">
      <alignment horizontal="center" vertical="center"/>
      <protection locked="0" hidden="0"/>
    </xf>
    <xf numFmtId="0" fontId="3" fillId="23" borderId="0" pivotButton="0" quotePrefix="0" xfId="37"/>
    <xf numFmtId="0" fontId="3" fillId="0" borderId="10" applyAlignment="1" applyProtection="1" pivotButton="0" quotePrefix="0" xfId="37">
      <alignment horizontal="center" vertical="center"/>
      <protection locked="1" hidden="1"/>
    </xf>
    <xf numFmtId="0" fontId="44" fillId="0" borderId="0" pivotButton="0" quotePrefix="0" xfId="37"/>
    <xf numFmtId="0" fontId="12" fillId="0" borderId="0" applyAlignment="1" applyProtection="1" pivotButton="0" quotePrefix="0" xfId="37">
      <alignment horizontal="center" vertical="center"/>
      <protection locked="1" hidden="1"/>
    </xf>
    <xf numFmtId="0" fontId="3" fillId="0" borderId="0" applyAlignment="1" pivotButton="0" quotePrefix="0" xfId="37">
      <alignment horizontal="center" vertical="center"/>
    </xf>
    <xf numFmtId="0" fontId="39" fillId="23" borderId="26" applyAlignment="1" applyProtection="1" pivotButton="0" quotePrefix="0" xfId="37">
      <alignment vertical="center"/>
      <protection locked="1" hidden="1"/>
    </xf>
    <xf numFmtId="1" fontId="39" fillId="0" borderId="26" applyAlignment="1" applyProtection="1" pivotButton="0" quotePrefix="0" xfId="37">
      <alignment horizontal="center" vertical="center"/>
      <protection locked="1" hidden="1"/>
    </xf>
    <xf numFmtId="0" fontId="3" fillId="22" borderId="38" applyAlignment="1" applyProtection="1" pivotButton="0" quotePrefix="0" xfId="0">
      <alignment horizontal="center" vertical="center"/>
      <protection locked="0" hidden="0"/>
    </xf>
    <xf numFmtId="0" fontId="47" fillId="0" borderId="0" applyAlignment="1" applyProtection="1" pivotButton="0" quotePrefix="0" xfId="0">
      <alignment horizontal="left" vertical="center"/>
      <protection locked="1" hidden="1"/>
    </xf>
    <xf numFmtId="0" fontId="3" fillId="0" borderId="51" applyAlignment="1" applyProtection="1" pivotButton="0" quotePrefix="0" xfId="37">
      <alignment horizontal="center" vertical="center"/>
      <protection locked="0" hidden="0"/>
    </xf>
    <xf numFmtId="0" fontId="3" fillId="0" borderId="39" applyAlignment="1" applyProtection="1" pivotButton="0" quotePrefix="0" xfId="37">
      <alignment horizontal="center" vertical="center"/>
      <protection locked="0" hidden="0"/>
    </xf>
    <xf numFmtId="17" fontId="3" fillId="0" borderId="37" applyAlignment="1" applyProtection="1" pivotButton="0" quotePrefix="0" xfId="37">
      <alignment horizontal="center" vertical="center"/>
      <protection locked="0" hidden="0"/>
    </xf>
    <xf numFmtId="17" fontId="3" fillId="0" borderId="52" applyAlignment="1" applyProtection="1" pivotButton="0" quotePrefix="0" xfId="37">
      <alignment horizontal="center" vertical="center"/>
      <protection locked="0" hidden="0"/>
    </xf>
    <xf numFmtId="17" fontId="3" fillId="0" borderId="39" applyAlignment="1" applyProtection="1" pivotButton="0" quotePrefix="0" xfId="37">
      <alignment horizontal="center" vertical="center"/>
      <protection locked="0" hidden="0"/>
    </xf>
    <xf numFmtId="0" fontId="3" fillId="0" borderId="37" applyAlignment="1" applyProtection="1" pivotButton="0" quotePrefix="0" xfId="37">
      <alignment horizontal="center" vertical="center"/>
      <protection locked="0" hidden="0"/>
    </xf>
    <xf numFmtId="0" fontId="3" fillId="0" borderId="52" applyAlignment="1" applyProtection="1" pivotButton="0" quotePrefix="0" xfId="37">
      <alignment horizontal="center" vertical="center"/>
      <protection locked="0" hidden="0"/>
    </xf>
    <xf numFmtId="168" fontId="3" fillId="0" borderId="37" applyAlignment="1" applyProtection="1" pivotButton="0" quotePrefix="0" xfId="37">
      <alignment horizontal="center" vertical="center"/>
      <protection locked="0" hidden="0"/>
    </xf>
    <xf numFmtId="168" fontId="3" fillId="0" borderId="52" applyAlignment="1" applyProtection="1" pivotButton="0" quotePrefix="0" xfId="37">
      <alignment horizontal="center" vertical="center"/>
      <protection locked="0" hidden="0"/>
    </xf>
    <xf numFmtId="168" fontId="3" fillId="0" borderId="47" applyAlignment="1" applyProtection="1" pivotButton="0" quotePrefix="0" xfId="37">
      <alignment horizontal="center" vertical="center"/>
      <protection locked="0" hidden="0"/>
    </xf>
    <xf numFmtId="0" fontId="3" fillId="0" borderId="48" applyAlignment="1" applyProtection="1" pivotButton="0" quotePrefix="0" xfId="37">
      <alignment horizontal="center" vertical="center"/>
      <protection locked="0" hidden="0"/>
    </xf>
    <xf numFmtId="0" fontId="3" fillId="0" borderId="53" applyAlignment="1" applyProtection="1" pivotButton="0" quotePrefix="0" xfId="37">
      <alignment horizontal="center" vertical="center"/>
      <protection locked="0" hidden="0"/>
    </xf>
    <xf numFmtId="17" fontId="3" fillId="0" borderId="54" applyAlignment="1" applyProtection="1" pivotButton="0" quotePrefix="0" xfId="37">
      <alignment horizontal="left" vertical="center"/>
      <protection locked="0" hidden="0"/>
    </xf>
    <xf numFmtId="17" fontId="3" fillId="0" borderId="55" applyAlignment="1" applyProtection="1" pivotButton="0" quotePrefix="0" xfId="37">
      <alignment horizontal="left" vertical="center"/>
      <protection locked="0" hidden="0"/>
    </xf>
    <xf numFmtId="17" fontId="3" fillId="0" borderId="53" applyAlignment="1" applyProtection="1" pivotButton="0" quotePrefix="0" xfId="37">
      <alignment horizontal="left" vertical="center"/>
      <protection locked="0" hidden="0"/>
    </xf>
    <xf numFmtId="1" fontId="3" fillId="0" borderId="54" applyAlignment="1" applyProtection="1" pivotButton="0" quotePrefix="0" xfId="37">
      <alignment horizontal="center" vertical="center"/>
      <protection locked="0" hidden="0"/>
    </xf>
    <xf numFmtId="0" fontId="3" fillId="0" borderId="55" applyAlignment="1" applyProtection="1" pivotButton="0" quotePrefix="0" xfId="37">
      <alignment horizontal="center" vertical="center"/>
      <protection locked="0" hidden="0"/>
    </xf>
    <xf numFmtId="168" fontId="3" fillId="0" borderId="54" applyAlignment="1" applyProtection="1" pivotButton="0" quotePrefix="0" xfId="37">
      <alignment horizontal="center" vertical="center"/>
      <protection locked="0" hidden="0"/>
    </xf>
    <xf numFmtId="168" fontId="3" fillId="0" borderId="55" applyAlignment="1" applyProtection="1" pivotButton="0" quotePrefix="0" xfId="37">
      <alignment horizontal="center" vertical="center"/>
      <protection locked="0" hidden="0"/>
    </xf>
    <xf numFmtId="168" fontId="3" fillId="0" borderId="49" applyAlignment="1" applyProtection="1" pivotButton="0" quotePrefix="0" xfId="37">
      <alignment horizontal="center" vertical="center"/>
      <protection locked="0" hidden="0"/>
    </xf>
    <xf numFmtId="0" fontId="3" fillId="0" borderId="50" applyAlignment="1" applyProtection="1" pivotButton="0" quotePrefix="0" xfId="37">
      <alignment horizontal="center" vertical="center"/>
      <protection locked="0" hidden="0"/>
    </xf>
    <xf numFmtId="0" fontId="3" fillId="0" borderId="56" applyAlignment="1" applyProtection="1" pivotButton="0" quotePrefix="0" xfId="37">
      <alignment horizontal="center" vertical="center"/>
      <protection locked="0" hidden="0"/>
    </xf>
    <xf numFmtId="17" fontId="3" fillId="0" borderId="38" applyAlignment="1" applyProtection="1" pivotButton="0" quotePrefix="0" xfId="37">
      <alignment horizontal="center" vertical="center"/>
      <protection locked="0" hidden="0"/>
    </xf>
    <xf numFmtId="17" fontId="3" fillId="0" borderId="57" applyAlignment="1" applyProtection="1" pivotButton="0" quotePrefix="0" xfId="37">
      <alignment horizontal="center" vertical="center"/>
      <protection locked="0" hidden="0"/>
    </xf>
    <xf numFmtId="17" fontId="3" fillId="0" borderId="56" applyAlignment="1" applyProtection="1" pivotButton="0" quotePrefix="0" xfId="37">
      <alignment horizontal="center" vertical="center"/>
      <protection locked="0" hidden="0"/>
    </xf>
    <xf numFmtId="0" fontId="3" fillId="22" borderId="35" applyAlignment="1" applyProtection="1" pivotButton="0" quotePrefix="0" xfId="37">
      <alignment horizontal="center" vertical="center" wrapText="1"/>
      <protection locked="0" hidden="0"/>
    </xf>
    <xf numFmtId="0" fontId="3" fillId="22" borderId="40" applyAlignment="1" applyProtection="1" pivotButton="0" quotePrefix="0" xfId="37">
      <alignment horizontal="center" vertical="center" wrapText="1"/>
      <protection locked="0" hidden="0"/>
    </xf>
    <xf numFmtId="0" fontId="3" fillId="22" borderId="10" applyAlignment="1" applyProtection="1" pivotButton="0" quotePrefix="0" xfId="37">
      <alignment horizontal="center" vertical="center" wrapText="1"/>
      <protection locked="0" hidden="0"/>
    </xf>
    <xf numFmtId="0" fontId="3" fillId="22" borderId="10" applyAlignment="1" applyProtection="1" pivotButton="0" quotePrefix="0" xfId="37">
      <alignment vertical="center" wrapText="1"/>
      <protection locked="0" hidden="0"/>
    </xf>
    <xf numFmtId="0" fontId="7" fillId="19" borderId="35" applyAlignment="1" applyProtection="1" pivotButton="0" quotePrefix="0" xfId="37">
      <alignment horizontal="center" vertical="center" shrinkToFit="1"/>
      <protection locked="0" hidden="0"/>
    </xf>
    <xf numFmtId="0" fontId="3" fillId="0" borderId="40" applyAlignment="1" applyProtection="1" pivotButton="0" quotePrefix="0" xfId="37">
      <alignment vertical="center" shrinkToFit="1"/>
      <protection locked="0" hidden="0"/>
    </xf>
    <xf numFmtId="0" fontId="3" fillId="0" borderId="38" applyAlignment="1" applyProtection="1" pivotButton="0" quotePrefix="0" xfId="37">
      <alignment horizontal="center" vertical="center"/>
      <protection locked="0" hidden="0"/>
    </xf>
    <xf numFmtId="0" fontId="3" fillId="0" borderId="57" applyAlignment="1" applyProtection="1" pivotButton="0" quotePrefix="0" xfId="37">
      <alignment horizontal="center" vertical="center"/>
      <protection locked="0" hidden="0"/>
    </xf>
    <xf numFmtId="168" fontId="3" fillId="0" borderId="38" applyAlignment="1" applyProtection="1" pivotButton="0" quotePrefix="0" xfId="37">
      <alignment horizontal="center" vertical="center"/>
      <protection locked="0" hidden="0"/>
    </xf>
    <xf numFmtId="168" fontId="3" fillId="0" borderId="57" applyAlignment="1" applyProtection="1" pivotButton="0" quotePrefix="0" xfId="37">
      <alignment horizontal="center" vertical="center"/>
      <protection locked="0" hidden="0"/>
    </xf>
    <xf numFmtId="168" fontId="3" fillId="0" borderId="46" applyAlignment="1" applyProtection="1" pivotButton="0" quotePrefix="0" xfId="37">
      <alignment horizontal="center" vertical="center"/>
      <protection locked="0" hidden="0"/>
    </xf>
    <xf numFmtId="0" fontId="3" fillId="18" borderId="58" applyAlignment="1" applyProtection="1" pivotButton="0" quotePrefix="0" xfId="37">
      <alignment horizontal="center" vertical="center"/>
      <protection locked="1" hidden="1"/>
    </xf>
    <xf numFmtId="0" fontId="3" fillId="0" borderId="31" applyAlignment="1" applyProtection="1" pivotButton="0" quotePrefix="0" xfId="37">
      <alignment horizontal="center" vertical="center"/>
      <protection locked="0" hidden="0"/>
    </xf>
    <xf numFmtId="0" fontId="3" fillId="0" borderId="59" applyAlignment="1" applyProtection="1" pivotButton="0" quotePrefix="0" xfId="37">
      <alignment horizontal="center" vertical="center"/>
      <protection locked="0" hidden="0"/>
    </xf>
    <xf numFmtId="0" fontId="9" fillId="21" borderId="35" applyAlignment="1" applyProtection="1" pivotButton="0" quotePrefix="1" xfId="37">
      <alignment horizontal="center" vertical="center"/>
      <protection locked="1" hidden="1"/>
    </xf>
    <xf numFmtId="0" fontId="3" fillId="0" borderId="40" applyAlignment="1" pivotButton="0" quotePrefix="0" xfId="37">
      <alignment vertical="center"/>
    </xf>
    <xf numFmtId="0" fontId="3" fillId="20" borderId="35" applyAlignment="1" applyProtection="1" pivotButton="0" quotePrefix="0" xfId="37">
      <alignment horizontal="center" vertical="center"/>
      <protection locked="0" hidden="0"/>
    </xf>
    <xf numFmtId="0" fontId="3" fillId="0" borderId="40" applyAlignment="1" applyProtection="1" pivotButton="0" quotePrefix="0" xfId="37">
      <alignment vertical="center"/>
      <protection locked="0" hidden="0"/>
    </xf>
    <xf numFmtId="0" fontId="48" fillId="19" borderId="35" applyAlignment="1" applyProtection="1" pivotButton="0" quotePrefix="0" xfId="37">
      <alignment horizontal="center" vertical="center"/>
      <protection locked="0" hidden="0"/>
    </xf>
    <xf numFmtId="0" fontId="49" fillId="0" borderId="40" applyAlignment="1" applyProtection="1" pivotButton="0" quotePrefix="0" xfId="37">
      <alignment vertical="center"/>
      <protection locked="0" hidden="0"/>
    </xf>
    <xf numFmtId="0" fontId="2" fillId="19" borderId="61" applyAlignment="1" applyProtection="1" pivotButton="0" quotePrefix="0" xfId="37">
      <alignment horizontal="center" vertical="center"/>
      <protection locked="0" hidden="0"/>
    </xf>
    <xf numFmtId="0" fontId="3" fillId="0" borderId="62" applyAlignment="1" applyProtection="1" pivotButton="0" quotePrefix="0" xfId="37">
      <alignment horizontal="center" vertical="center"/>
      <protection locked="0" hidden="0"/>
    </xf>
    <xf numFmtId="0" fontId="2" fillId="22" borderId="31" applyAlignment="1" applyProtection="1" pivotButton="0" quotePrefix="0" xfId="37">
      <alignment horizontal="center" vertical="center"/>
      <protection locked="1" hidden="1"/>
    </xf>
    <xf numFmtId="0" fontId="2" fillId="22" borderId="60" applyAlignment="1" applyProtection="1" pivotButton="0" quotePrefix="0" xfId="37">
      <alignment horizontal="center" vertical="center"/>
      <protection locked="1" hidden="1"/>
    </xf>
    <xf numFmtId="0" fontId="2" fillId="22" borderId="59" applyAlignment="1" applyProtection="1" pivotButton="0" quotePrefix="0" xfId="37">
      <alignment horizontal="center" vertical="center"/>
      <protection locked="1" hidden="1"/>
    </xf>
    <xf numFmtId="0" fontId="13" fillId="0" borderId="31" applyAlignment="1" applyProtection="1" pivotButton="0" quotePrefix="0" xfId="37">
      <alignment horizontal="center" vertical="center"/>
      <protection locked="0" hidden="0"/>
    </xf>
    <xf numFmtId="0" fontId="13" fillId="0" borderId="59" applyAlignment="1" applyProtection="1" pivotButton="0" quotePrefix="0" xfId="37">
      <alignment horizontal="center" vertical="center"/>
      <protection locked="0" hidden="0"/>
    </xf>
    <xf numFmtId="167" fontId="3" fillId="0" borderId="31" applyAlignment="1" applyProtection="1" pivotButton="0" quotePrefix="0" xfId="37">
      <alignment horizontal="center" vertical="center"/>
      <protection locked="0" hidden="0"/>
    </xf>
    <xf numFmtId="167" fontId="3" fillId="0" borderId="60" applyAlignment="1" applyProtection="1" pivotButton="0" quotePrefix="0" xfId="37">
      <alignment horizontal="center" vertical="center"/>
      <protection locked="0" hidden="0"/>
    </xf>
    <xf numFmtId="167" fontId="3" fillId="0" borderId="59" applyAlignment="1" applyProtection="1" pivotButton="0" quotePrefix="0" xfId="37">
      <alignment horizontal="center" vertical="center"/>
      <protection locked="0" hidden="0"/>
    </xf>
    <xf numFmtId="0" fontId="50" fillId="18" borderId="18" applyAlignment="1" applyProtection="1" pivotButton="0" quotePrefix="0" xfId="37">
      <alignment horizontal="center" vertical="center"/>
      <protection locked="1" hidden="1"/>
    </xf>
    <xf numFmtId="0" fontId="50" fillId="18" borderId="0" applyAlignment="1" applyProtection="1" pivotButton="0" quotePrefix="0" xfId="37">
      <alignment horizontal="center" vertical="center"/>
      <protection locked="1" hidden="1"/>
    </xf>
    <xf numFmtId="0" fontId="50" fillId="18" borderId="19" applyAlignment="1" applyProtection="1" pivotButton="0" quotePrefix="0" xfId="37">
      <alignment horizontal="center" vertical="center"/>
      <protection locked="1" hidden="1"/>
    </xf>
    <xf numFmtId="0" fontId="13" fillId="0" borderId="31" applyAlignment="1" applyProtection="1" pivotButton="0" quotePrefix="0" xfId="0">
      <alignment horizontal="center" vertical="center"/>
      <protection locked="0" hidden="0"/>
    </xf>
    <xf numFmtId="0" fontId="13" fillId="0" borderId="59" applyAlignment="1" applyProtection="1" pivotButton="0" quotePrefix="0" xfId="0">
      <alignment horizontal="center" vertical="center"/>
      <protection locked="0" hidden="0"/>
    </xf>
    <xf numFmtId="0" fontId="50" fillId="18" borderId="18" applyAlignment="1" applyProtection="1" pivotButton="0" quotePrefix="0" xfId="0">
      <alignment horizontal="center" vertical="center"/>
      <protection locked="1" hidden="1"/>
    </xf>
    <xf numFmtId="0" fontId="50" fillId="18" borderId="0" applyAlignment="1" applyProtection="1" pivotButton="0" quotePrefix="0" xfId="0">
      <alignment horizontal="center" vertical="center"/>
      <protection locked="1" hidden="1"/>
    </xf>
    <xf numFmtId="0" fontId="50" fillId="18" borderId="19" applyAlignment="1" applyProtection="1" pivotButton="0" quotePrefix="0" xfId="0">
      <alignment horizontal="center" vertical="center"/>
      <protection locked="1" hidden="1"/>
    </xf>
    <xf numFmtId="0" fontId="2" fillId="25" borderId="48" applyAlignment="1" applyProtection="1" pivotButton="0" quotePrefix="0" xfId="0">
      <alignment horizontal="center" vertical="center"/>
      <protection locked="1" hidden="1"/>
    </xf>
    <xf numFmtId="0" fontId="2" fillId="25" borderId="55" applyAlignment="1" applyProtection="1" pivotButton="0" quotePrefix="0" xfId="0">
      <alignment horizontal="center" vertical="center"/>
      <protection locked="1" hidden="1"/>
    </xf>
    <xf numFmtId="0" fontId="2" fillId="25" borderId="49" applyAlignment="1" applyProtection="1" pivotButton="0" quotePrefix="0" xfId="0">
      <alignment horizontal="center" vertical="center"/>
      <protection locked="1" hidden="1"/>
    </xf>
    <xf numFmtId="0" fontId="3" fillId="0" borderId="31" applyAlignment="1" applyProtection="1" pivotButton="0" quotePrefix="0" xfId="0">
      <alignment horizontal="center" vertical="center"/>
      <protection locked="0" hidden="0"/>
    </xf>
    <xf numFmtId="0" fontId="3" fillId="0" borderId="59" applyAlignment="1" applyProtection="1" pivotButton="0" quotePrefix="0" xfId="0">
      <alignment horizontal="center" vertical="center"/>
      <protection locked="0" hidden="0"/>
    </xf>
    <xf numFmtId="167" fontId="3" fillId="0" borderId="31" applyAlignment="1" applyProtection="1" pivotButton="0" quotePrefix="0" xfId="0">
      <alignment horizontal="center" vertical="center"/>
      <protection locked="0" hidden="0"/>
    </xf>
    <xf numFmtId="167" fontId="3" fillId="0" borderId="60" applyAlignment="1" applyProtection="1" pivotButton="0" quotePrefix="0" xfId="0">
      <alignment horizontal="center" vertical="center"/>
      <protection locked="0" hidden="0"/>
    </xf>
    <xf numFmtId="167" fontId="3" fillId="0" borderId="59" applyAlignment="1" applyProtection="1" pivotButton="0" quotePrefix="0" xfId="0">
      <alignment horizontal="center" vertical="center"/>
      <protection locked="0" hidden="0"/>
    </xf>
    <xf numFmtId="0" fontId="3" fillId="25" borderId="34" applyAlignment="1" applyProtection="1" pivotButton="0" quotePrefix="0" xfId="0">
      <alignment horizontal="center" vertical="center"/>
      <protection locked="1" hidden="1"/>
    </xf>
    <xf numFmtId="0" fontId="0" fillId="25" borderId="63" applyAlignment="1" pivotButton="0" quotePrefix="0" xfId="0">
      <alignment vertical="center"/>
    </xf>
    <xf numFmtId="0" fontId="3" fillId="0" borderId="22" applyAlignment="1" applyProtection="1" pivotButton="0" quotePrefix="0" xfId="0">
      <alignment horizontal="center" vertical="center"/>
      <protection locked="0" hidden="0"/>
    </xf>
    <xf numFmtId="0" fontId="3" fillId="0" borderId="43" applyAlignment="1" applyProtection="1" pivotButton="0" quotePrefix="0" xfId="0">
      <alignment horizontal="center" vertical="center"/>
      <protection locked="0" hidden="0"/>
    </xf>
    <xf numFmtId="0" fontId="3" fillId="23" borderId="0" applyAlignment="1" applyProtection="1" pivotButton="0" quotePrefix="0" xfId="0">
      <alignment horizontal="center" vertical="center"/>
      <protection locked="1" hidden="1"/>
    </xf>
    <xf numFmtId="0" fontId="3" fillId="0" borderId="0" applyAlignment="1" applyProtection="1" pivotButton="0" quotePrefix="0" xfId="0">
      <alignment vertical="center"/>
      <protection locked="1" hidden="1"/>
    </xf>
    <xf numFmtId="0" fontId="3" fillId="0" borderId="0" applyAlignment="1" pivotButton="0" quotePrefix="0" xfId="0">
      <alignment vertical="center"/>
    </xf>
    <xf numFmtId="0" fontId="3" fillId="18" borderId="58" applyAlignment="1" applyProtection="1" pivotButton="0" quotePrefix="0" xfId="0">
      <alignment horizontal="center" vertical="center"/>
      <protection locked="1" hidden="1"/>
    </xf>
    <xf numFmtId="0" fontId="0" fillId="0" borderId="58" applyAlignment="1" pivotButton="0" quotePrefix="0" xfId="0">
      <alignment horizontal="center" vertical="center"/>
    </xf>
    <xf numFmtId="17" fontId="3" fillId="0" borderId="64" applyAlignment="1" applyProtection="1" pivotButton="0" quotePrefix="0" xfId="0">
      <alignment horizontal="left" vertical="center"/>
      <protection locked="0" hidden="0"/>
    </xf>
    <xf numFmtId="0" fontId="3" fillId="0" borderId="64" applyAlignment="1" applyProtection="1" pivotButton="0" quotePrefix="0" xfId="0">
      <alignment horizontal="left" vertical="center"/>
      <protection locked="0" hidden="0"/>
    </xf>
    <xf numFmtId="170" fontId="3" fillId="0" borderId="64" applyAlignment="1" applyProtection="1" pivotButton="0" quotePrefix="0" xfId="0">
      <alignment horizontal="center" vertical="center"/>
      <protection locked="0" hidden="0"/>
    </xf>
    <xf numFmtId="170" fontId="3" fillId="0" borderId="64" applyAlignment="1" applyProtection="1" pivotButton="0" quotePrefix="0" xfId="0">
      <alignment vertical="center"/>
      <protection locked="0" hidden="0"/>
    </xf>
    <xf numFmtId="170" fontId="3" fillId="0" borderId="43" applyAlignment="1" applyProtection="1" pivotButton="0" quotePrefix="0" xfId="0">
      <alignment vertical="center"/>
      <protection locked="0" hidden="0"/>
    </xf>
    <xf numFmtId="1" fontId="3" fillId="0" borderId="31" applyAlignment="1" applyProtection="1" pivotButton="0" quotePrefix="0" xfId="0">
      <alignment horizontal="center" vertical="center"/>
      <protection locked="0" hidden="0"/>
    </xf>
    <xf numFmtId="0" fontId="3" fillId="0" borderId="64" applyAlignment="1" applyProtection="1" pivotButton="0" quotePrefix="0" xfId="0">
      <alignment horizontal="left"/>
      <protection locked="0" hidden="0"/>
    </xf>
    <xf numFmtId="170" fontId="3" fillId="0" borderId="64" applyProtection="1" pivotButton="0" quotePrefix="0" xfId="0">
      <protection locked="0" hidden="0"/>
    </xf>
    <xf numFmtId="170" fontId="3" fillId="0" borderId="43" applyProtection="1" pivotButton="0" quotePrefix="0" xfId="0">
      <protection locked="0" hidden="0"/>
    </xf>
    <xf numFmtId="0" fontId="3" fillId="18" borderId="0" applyAlignment="1" applyProtection="1" pivotButton="0" quotePrefix="0" xfId="0">
      <alignment horizontal="center"/>
      <protection locked="1" hidden="1"/>
    </xf>
    <xf numFmtId="0" fontId="3" fillId="0" borderId="0" applyProtection="1" pivotButton="0" quotePrefix="0" xfId="0">
      <protection locked="1" hidden="1"/>
    </xf>
    <xf numFmtId="0" fontId="3" fillId="0" borderId="0" pivotButton="0" quotePrefix="0" xfId="0"/>
    <xf numFmtId="0" fontId="3" fillId="18" borderId="58" applyAlignment="1" applyProtection="1" pivotButton="0" quotePrefix="0" xfId="0">
      <alignment horizontal="center"/>
      <protection locked="1" hidden="1"/>
    </xf>
    <xf numFmtId="0" fontId="0" fillId="0" borderId="58" applyAlignment="1" pivotButton="0" quotePrefix="0" xfId="0">
      <alignment horizontal="center"/>
    </xf>
    <xf numFmtId="0" fontId="13" fillId="0" borderId="60" applyAlignment="1" applyProtection="1" pivotButton="0" quotePrefix="0" xfId="0">
      <alignment horizontal="center" vertical="center"/>
      <protection locked="0" hidden="0"/>
    </xf>
    <xf numFmtId="17" fontId="3" fillId="0" borderId="42" applyAlignment="1" applyProtection="1" pivotButton="0" quotePrefix="0" xfId="0">
      <alignment horizontal="left" vertical="center"/>
      <protection locked="0" hidden="0"/>
    </xf>
    <xf numFmtId="1" fontId="3" fillId="0" borderId="64" applyAlignment="1" applyProtection="1" pivotButton="0" quotePrefix="0" xfId="0">
      <alignment horizontal="center" vertical="center"/>
      <protection locked="0" hidden="0"/>
    </xf>
    <xf numFmtId="1" fontId="0" fillId="0" borderId="64" applyAlignment="1" applyProtection="1" pivotButton="0" quotePrefix="0" xfId="0">
      <alignment vertical="center"/>
      <protection locked="0" hidden="0"/>
    </xf>
    <xf numFmtId="171" fontId="3" fillId="0" borderId="64" applyAlignment="1" applyProtection="1" pivotButton="0" quotePrefix="0" xfId="0">
      <alignment horizontal="center" vertical="center"/>
      <protection locked="0" hidden="0"/>
    </xf>
    <xf numFmtId="171" fontId="0" fillId="0" borderId="43" applyAlignment="1" applyProtection="1" pivotButton="0" quotePrefix="0" xfId="0">
      <alignment vertical="center"/>
      <protection locked="0" hidden="0"/>
    </xf>
    <xf numFmtId="0" fontId="38" fillId="18" borderId="0" applyAlignment="1" applyProtection="1" pivotButton="0" quotePrefix="0" xfId="0">
      <alignment horizontal="center" vertical="center"/>
      <protection locked="1" hidden="1"/>
    </xf>
    <xf numFmtId="0" fontId="38" fillId="18" borderId="19" applyAlignment="1" applyProtection="1" pivotButton="0" quotePrefix="0" xfId="0">
      <alignment horizontal="center" vertical="center"/>
      <protection locked="1" hidden="1"/>
    </xf>
    <xf numFmtId="0" fontId="2" fillId="22" borderId="61" applyAlignment="1" applyProtection="1" pivotButton="0" quotePrefix="0" xfId="0">
      <alignment horizontal="center" vertical="center"/>
      <protection locked="1" hidden="1"/>
    </xf>
    <xf numFmtId="0" fontId="2" fillId="22" borderId="65" applyAlignment="1" applyProtection="1" pivotButton="0" quotePrefix="0" xfId="0">
      <alignment horizontal="center" vertical="center"/>
      <protection locked="1" hidden="1"/>
    </xf>
    <xf numFmtId="0" fontId="0" fillId="0" borderId="0" applyAlignment="1" pivotButton="0" quotePrefix="0" xfId="0">
      <alignment vertical="center"/>
    </xf>
    <xf numFmtId="0" fontId="50" fillId="0" borderId="0" applyAlignment="1" applyProtection="1" pivotButton="0" quotePrefix="0" xfId="37">
      <alignment horizontal="center"/>
      <protection locked="1" hidden="1"/>
    </xf>
    <xf numFmtId="0" fontId="44" fillId="0" borderId="0" pivotButton="0" quotePrefix="0" xfId="37"/>
    <xf numFmtId="0" fontId="12" fillId="0" borderId="0" applyAlignment="1" applyProtection="1" pivotButton="0" quotePrefix="0" xfId="37">
      <alignment horizontal="center" vertical="center"/>
      <protection locked="1" hidden="1"/>
    </xf>
    <xf numFmtId="0" fontId="3" fillId="0" borderId="0" applyAlignment="1" pivotButton="0" quotePrefix="0" xfId="37">
      <alignment horizontal="center" vertical="center"/>
    </xf>
    <xf numFmtId="0" fontId="51" fillId="0" borderId="31" applyAlignment="1" applyProtection="1" pivotButton="0" quotePrefix="0" xfId="37">
      <alignment horizontal="center" vertical="center"/>
      <protection locked="0" hidden="0"/>
    </xf>
    <xf numFmtId="0" fontId="51" fillId="0" borderId="60" applyAlignment="1" applyProtection="1" pivotButton="0" quotePrefix="0" xfId="37">
      <alignment horizontal="center" vertical="center"/>
      <protection locked="0" hidden="0"/>
    </xf>
    <xf numFmtId="0" fontId="51" fillId="0" borderId="59" applyAlignment="1" applyProtection="1" pivotButton="0" quotePrefix="0" xfId="37">
      <alignment horizontal="center" vertical="center"/>
      <protection locked="0" hidden="0"/>
    </xf>
    <xf numFmtId="14" fontId="3" fillId="0" borderId="31" applyAlignment="1" applyProtection="1" pivotButton="0" quotePrefix="0" xfId="37">
      <alignment horizontal="center" vertical="center"/>
      <protection locked="0" hidden="0"/>
    </xf>
    <xf numFmtId="0" fontId="13" fillId="0" borderId="60" applyAlignment="1" applyProtection="1" pivotButton="0" quotePrefix="0" xfId="37">
      <alignment horizontal="center" vertical="center"/>
      <protection locked="0" hidden="0"/>
    </xf>
    <xf numFmtId="0" fontId="52" fillId="0" borderId="31" applyAlignment="1" applyProtection="1" pivotButton="0" quotePrefix="0" xfId="37">
      <alignment horizontal="center" vertical="center"/>
      <protection locked="1" hidden="1"/>
    </xf>
    <xf numFmtId="0" fontId="52" fillId="0" borderId="60" applyAlignment="1" applyProtection="1" pivotButton="0" quotePrefix="0" xfId="37">
      <alignment horizontal="center" vertical="center"/>
      <protection locked="1" hidden="1"/>
    </xf>
    <xf numFmtId="0" fontId="52" fillId="0" borderId="60" applyAlignment="1" pivotButton="0" quotePrefix="0" xfId="37">
      <alignment horizontal="center" vertical="center"/>
    </xf>
    <xf numFmtId="0" fontId="52" fillId="0" borderId="60" applyAlignment="1" pivotButton="0" quotePrefix="0" xfId="37">
      <alignment vertical="center"/>
    </xf>
    <xf numFmtId="0" fontId="52" fillId="0" borderId="59" applyAlignment="1" pivotButton="0" quotePrefix="0" xfId="37">
      <alignment vertical="center"/>
    </xf>
    <xf numFmtId="0" fontId="3" fillId="0" borderId="10" applyAlignment="1" applyProtection="1" pivotButton="0" quotePrefix="0" xfId="37">
      <alignment horizontal="center" vertical="center"/>
      <protection locked="1" hidden="1"/>
    </xf>
    <xf numFmtId="0" fontId="3" fillId="0" borderId="10" applyAlignment="1" pivotButton="0" quotePrefix="0" xfId="37">
      <alignment horizontal="center" vertical="center"/>
    </xf>
    <xf numFmtId="0" fontId="2" fillId="27" borderId="31" applyAlignment="1" applyProtection="1" pivotButton="0" quotePrefix="0" xfId="37">
      <alignment horizontal="center" vertical="center"/>
      <protection locked="1" hidden="1"/>
    </xf>
    <xf numFmtId="0" fontId="2" fillId="27" borderId="60" applyAlignment="1" applyProtection="1" pivotButton="0" quotePrefix="0" xfId="37">
      <alignment horizontal="center" vertical="center"/>
      <protection locked="1" hidden="1"/>
    </xf>
    <xf numFmtId="0" fontId="2" fillId="27" borderId="59" applyAlignment="1" applyProtection="1" pivotButton="0" quotePrefix="0" xfId="37">
      <alignment horizontal="center" vertical="center"/>
      <protection locked="1" hidden="1"/>
    </xf>
    <xf numFmtId="0" fontId="2" fillId="0" borderId="10" applyAlignment="1" applyProtection="1" pivotButton="0" quotePrefix="0" xfId="37">
      <alignment horizontal="center" vertical="center"/>
      <protection locked="1" hidden="1"/>
    </xf>
    <xf numFmtId="0" fontId="54" fillId="28" borderId="31" applyAlignment="1" applyProtection="1" pivotButton="0" quotePrefix="0" xfId="37">
      <alignment horizontal="center" vertical="center"/>
      <protection locked="1" hidden="1"/>
    </xf>
    <xf numFmtId="0" fontId="58" fillId="28" borderId="60" applyAlignment="1" applyProtection="1" pivotButton="0" quotePrefix="0" xfId="37">
      <alignment horizontal="center" vertical="center"/>
      <protection locked="1" hidden="1"/>
    </xf>
    <xf numFmtId="0" fontId="58" fillId="28" borderId="59" applyAlignment="1" applyProtection="1" pivotButton="0" quotePrefix="0" xfId="37">
      <alignment horizontal="center" vertical="center"/>
      <protection locked="1" hidden="1"/>
    </xf>
    <xf numFmtId="0" fontId="67" fillId="29" borderId="31" applyAlignment="1" applyProtection="1" pivotButton="0" quotePrefix="0" xfId="37">
      <alignment horizontal="center" vertical="center"/>
      <protection locked="1" hidden="1"/>
    </xf>
    <xf numFmtId="0" fontId="67" fillId="29" borderId="60" applyAlignment="1" applyProtection="1" pivotButton="0" quotePrefix="0" xfId="37">
      <alignment horizontal="center" vertical="center"/>
      <protection locked="1" hidden="1"/>
    </xf>
    <xf numFmtId="0" fontId="67" fillId="29" borderId="59" applyAlignment="1" applyProtection="1" pivotButton="0" quotePrefix="0" xfId="37">
      <alignment horizontal="center" vertical="center"/>
      <protection locked="1" hidden="1"/>
    </xf>
    <xf numFmtId="0" fontId="67" fillId="29" borderId="31" applyAlignment="1" applyProtection="1" pivotButton="0" quotePrefix="0" xfId="37">
      <alignment horizontal="center" vertical="center"/>
      <protection locked="0" hidden="0"/>
    </xf>
    <xf numFmtId="0" fontId="67" fillId="29" borderId="60" applyAlignment="1" applyProtection="1" pivotButton="0" quotePrefix="0" xfId="37">
      <alignment horizontal="center" vertical="center"/>
      <protection locked="0" hidden="0"/>
    </xf>
    <xf numFmtId="0" fontId="67" fillId="29" borderId="59" applyAlignment="1" applyProtection="1" pivotButton="0" quotePrefix="0" xfId="37">
      <alignment horizontal="center" vertical="center"/>
      <protection locked="0" hidden="0"/>
    </xf>
    <xf numFmtId="0" fontId="3" fillId="0" borderId="31" applyAlignment="1" applyProtection="1" pivotButton="0" quotePrefix="0" xfId="37">
      <alignment horizontal="left" vertical="center"/>
      <protection locked="0" hidden="0"/>
    </xf>
    <xf numFmtId="0" fontId="3" fillId="0" borderId="60" applyAlignment="1" applyProtection="1" pivotButton="0" quotePrefix="0" xfId="37">
      <alignment horizontal="left" vertical="center"/>
      <protection locked="0" hidden="0"/>
    </xf>
    <xf numFmtId="0" fontId="3" fillId="0" borderId="59" applyAlignment="1" applyProtection="1" pivotButton="0" quotePrefix="0" xfId="37">
      <alignment horizontal="left" vertical="center"/>
      <protection locked="0" hidden="0"/>
    </xf>
    <xf numFmtId="0" fontId="3" fillId="0" borderId="60" applyAlignment="1" applyProtection="1" pivotButton="0" quotePrefix="0" xfId="37">
      <alignment horizontal="center" vertical="center"/>
      <protection locked="0" hidden="0"/>
    </xf>
    <xf numFmtId="170" fontId="3" fillId="0" borderId="31" applyAlignment="1" applyProtection="1" pivotButton="0" quotePrefix="0" xfId="37">
      <alignment horizontal="center" vertical="center"/>
      <protection locked="0" hidden="0"/>
    </xf>
    <xf numFmtId="170" fontId="3" fillId="0" borderId="59" applyAlignment="1" applyProtection="1" pivotButton="0" quotePrefix="0" xfId="37">
      <alignment horizontal="center" vertical="center"/>
      <protection locked="0" hidden="0"/>
    </xf>
    <xf numFmtId="0" fontId="12" fillId="0" borderId="0" applyAlignment="1" applyProtection="1" pivotButton="0" quotePrefix="0" xfId="37">
      <alignment horizontal="center" vertical="center" wrapText="1"/>
      <protection locked="1" hidden="1"/>
    </xf>
    <xf numFmtId="0" fontId="3" fillId="22" borderId="26" applyAlignment="1" applyProtection="1" pivotButton="0" quotePrefix="0" xfId="0">
      <alignment horizontal="center" vertical="center"/>
      <protection locked="0" hidden="0"/>
    </xf>
    <xf numFmtId="2" fontId="37" fillId="30" borderId="23" applyAlignment="1" applyProtection="1" pivotButton="0" quotePrefix="0" xfId="37">
      <alignment horizontal="center" vertical="center"/>
      <protection locked="0" hidden="0"/>
    </xf>
    <xf numFmtId="2" fontId="3" fillId="0" borderId="12" applyAlignment="1" applyProtection="1" pivotButton="0" quotePrefix="0" xfId="37">
      <alignment horizontal="center" vertical="center"/>
      <protection locked="0" hidden="0"/>
    </xf>
    <xf numFmtId="0" fontId="3" fillId="31" borderId="44" applyAlignment="1" applyProtection="1" pivotButton="0" quotePrefix="0" xfId="37">
      <alignment horizontal="center" vertical="center"/>
      <protection locked="1" hidden="1"/>
    </xf>
    <xf numFmtId="2" fontId="3" fillId="0" borderId="29" applyAlignment="1" applyProtection="1" pivotButton="0" quotePrefix="0" xfId="45">
      <alignment horizontal="center" vertical="center"/>
      <protection locked="0" hidden="0"/>
    </xf>
    <xf numFmtId="0" fontId="0" fillId="0" borderId="0" applyProtection="1" pivotButton="0" quotePrefix="0" xfId="0">
      <protection locked="1" hidden="1"/>
    </xf>
    <xf numFmtId="167" fontId="43" fillId="0" borderId="0" applyAlignment="1" applyProtection="1" pivotButton="0" quotePrefix="0" xfId="0">
      <alignment horizontal="left" vertical="center"/>
      <protection locked="1" hidden="1"/>
    </xf>
    <xf numFmtId="167" fontId="12" fillId="0" borderId="0" applyAlignment="1" applyProtection="1" pivotButton="0" quotePrefix="0" xfId="0">
      <alignment vertical="center"/>
      <protection locked="0" hidden="0"/>
    </xf>
    <xf numFmtId="167" fontId="12" fillId="0" borderId="0" applyAlignment="1" applyProtection="1" pivotButton="0" quotePrefix="0" xfId="0">
      <alignment horizontal="center" vertical="center"/>
      <protection locked="0" hidden="0"/>
    </xf>
    <xf numFmtId="167" fontId="43" fillId="0" borderId="0" applyAlignment="1" applyProtection="1" pivotButton="0" quotePrefix="0" xfId="0">
      <alignment horizontal="left" vertical="center"/>
      <protection locked="0" hidden="0"/>
    </xf>
    <xf numFmtId="168" fontId="39" fillId="0" borderId="26" applyAlignment="1" applyProtection="1" pivotButton="0" quotePrefix="0" xfId="37">
      <alignment horizontal="center" vertical="center"/>
      <protection locked="0" hidden="0"/>
    </xf>
    <xf numFmtId="168" fontId="39" fillId="0" borderId="0" applyAlignment="1" applyProtection="1" pivotButton="0" quotePrefix="0" xfId="37">
      <alignment vertical="center"/>
      <protection locked="0" hidden="0"/>
    </xf>
    <xf numFmtId="164" fontId="3" fillId="0" borderId="0" applyProtection="1" pivotButton="0" quotePrefix="0" xfId="0">
      <protection locked="0" hidden="0"/>
    </xf>
    <xf numFmtId="164" fontId="3" fillId="0" borderId="0" pivotButton="0" quotePrefix="0" xfId="0"/>
    <xf numFmtId="0" fontId="50" fillId="18" borderId="66" applyAlignment="1" applyProtection="1" pivotButton="0" quotePrefix="0" xfId="37">
      <alignment horizontal="center" vertical="center"/>
      <protection locked="1" hidden="1"/>
    </xf>
    <xf numFmtId="0" fontId="0" fillId="0" borderId="19" applyProtection="1" pivotButton="0" quotePrefix="0" xfId="0">
      <protection locked="1" hidden="1"/>
    </xf>
    <xf numFmtId="0" fontId="3" fillId="0" borderId="10" applyAlignment="1" applyProtection="1" pivotButton="0" quotePrefix="0" xfId="37">
      <alignment horizontal="center" vertical="center"/>
      <protection locked="0" hidden="0"/>
    </xf>
    <xf numFmtId="0" fontId="0" fillId="0" borderId="59" applyProtection="1" pivotButton="0" quotePrefix="0" xfId="0">
      <protection locked="0" hidden="0"/>
    </xf>
    <xf numFmtId="167" fontId="3" fillId="0" borderId="10" applyAlignment="1" applyProtection="1" pivotButton="0" quotePrefix="0" xfId="37">
      <alignment horizontal="center" vertical="center"/>
      <protection locked="0" hidden="0"/>
    </xf>
    <xf numFmtId="0" fontId="0" fillId="0" borderId="60" applyProtection="1" pivotButton="0" quotePrefix="0" xfId="0">
      <protection locked="0" hidden="0"/>
    </xf>
    <xf numFmtId="0" fontId="13" fillId="0" borderId="10" applyAlignment="1" applyProtection="1" pivotButton="0" quotePrefix="0" xfId="37">
      <alignment horizontal="center" vertical="center"/>
      <protection locked="0" hidden="0"/>
    </xf>
    <xf numFmtId="0" fontId="2" fillId="22" borderId="10" applyAlignment="1" applyProtection="1" pivotButton="0" quotePrefix="0" xfId="37">
      <alignment horizontal="center" vertical="center"/>
      <protection locked="1" hidden="1"/>
    </xf>
    <xf numFmtId="0" fontId="0" fillId="0" borderId="60" applyProtection="1" pivotButton="0" quotePrefix="0" xfId="0">
      <protection locked="1" hidden="1"/>
    </xf>
    <xf numFmtId="0" fontId="0" fillId="0" borderId="59" applyProtection="1" pivotButton="0" quotePrefix="0" xfId="0">
      <protection locked="1" hidden="1"/>
    </xf>
    <xf numFmtId="0" fontId="2" fillId="19" borderId="31" applyAlignment="1" applyProtection="1" pivotButton="0" quotePrefix="0" xfId="37">
      <alignment horizontal="center" vertical="center"/>
      <protection locked="0" hidden="0"/>
    </xf>
    <xf numFmtId="0" fontId="48" fillId="19" borderId="10" applyAlignment="1" applyProtection="1" pivotButton="0" quotePrefix="0" xfId="37">
      <alignment horizontal="center" vertical="center"/>
      <protection locked="0" hidden="0"/>
    </xf>
    <xf numFmtId="0" fontId="3" fillId="20" borderId="10" applyAlignment="1" applyProtection="1" pivotButton="0" quotePrefix="0" xfId="37">
      <alignment horizontal="center" vertical="center"/>
      <protection locked="0" hidden="0"/>
    </xf>
    <xf numFmtId="0" fontId="7" fillId="19" borderId="10" applyAlignment="1" applyProtection="1" pivotButton="0" quotePrefix="0" xfId="37">
      <alignment horizontal="center" vertical="center" shrinkToFit="1"/>
      <protection locked="0" hidden="0"/>
    </xf>
    <xf numFmtId="0" fontId="9" fillId="21" borderId="10" applyAlignment="1" applyProtection="1" pivotButton="0" quotePrefix="1" xfId="37">
      <alignment horizontal="center" vertical="center"/>
      <protection locked="1" hidden="1"/>
    </xf>
    <xf numFmtId="0" fontId="0" fillId="0" borderId="40" applyProtection="1" pivotButton="0" quotePrefix="0" xfId="0">
      <protection locked="0" hidden="0"/>
    </xf>
    <xf numFmtId="0" fontId="0" fillId="0" borderId="62" applyProtection="1" pivotButton="0" quotePrefix="0" xfId="0">
      <protection locked="0" hidden="0"/>
    </xf>
    <xf numFmtId="165" fontId="3" fillId="0" borderId="12" applyAlignment="1" applyProtection="1" pivotButton="0" quotePrefix="0" xfId="37">
      <alignment horizontal="center" vertical="center"/>
      <protection locked="0" hidden="0"/>
    </xf>
    <xf numFmtId="165" fontId="3" fillId="0" borderId="13" applyAlignment="1" applyProtection="1" pivotButton="0" quotePrefix="0" xfId="37">
      <alignment horizontal="center" vertical="center"/>
      <protection locked="0" hidden="0"/>
    </xf>
    <xf numFmtId="165" fontId="3" fillId="0" borderId="14" applyAlignment="1" applyProtection="1" pivotButton="0" quotePrefix="0" xfId="37">
      <alignment horizontal="center" vertical="center"/>
      <protection locked="0" hidden="0"/>
    </xf>
    <xf numFmtId="0" fontId="0" fillId="0" borderId="40" applyProtection="1" pivotButton="0" quotePrefix="0" xfId="0">
      <protection locked="1" hidden="1"/>
    </xf>
    <xf numFmtId="164" fontId="3" fillId="18" borderId="0" applyAlignment="1" applyProtection="1" pivotButton="0" quotePrefix="0" xfId="37">
      <alignment horizontal="center" vertical="center"/>
      <protection locked="1" hidden="1"/>
    </xf>
    <xf numFmtId="0" fontId="0" fillId="0" borderId="58" applyProtection="1" pivotButton="0" quotePrefix="0" xfId="0">
      <protection locked="1" hidden="1"/>
    </xf>
    <xf numFmtId="0" fontId="3" fillId="0" borderId="27" applyAlignment="1" applyProtection="1" pivotButton="0" quotePrefix="0" xfId="37">
      <alignment horizontal="center" vertical="center"/>
      <protection locked="0" hidden="0"/>
    </xf>
    <xf numFmtId="0" fontId="0" fillId="0" borderId="53" applyProtection="1" pivotButton="0" quotePrefix="0" xfId="0">
      <protection locked="0" hidden="0"/>
    </xf>
    <xf numFmtId="17" fontId="3" fillId="0" borderId="25" applyAlignment="1" applyProtection="1" pivotButton="0" quotePrefix="0" xfId="37">
      <alignment horizontal="left" vertical="center"/>
      <protection locked="0" hidden="0"/>
    </xf>
    <xf numFmtId="0" fontId="0" fillId="0" borderId="55" applyProtection="1" pivotButton="0" quotePrefix="0" xfId="0">
      <protection locked="0" hidden="0"/>
    </xf>
    <xf numFmtId="1" fontId="3" fillId="0" borderId="25" applyAlignment="1" applyProtection="1" pivotButton="0" quotePrefix="0" xfId="37">
      <alignment horizontal="center" vertical="center"/>
      <protection locked="0" hidden="0"/>
    </xf>
    <xf numFmtId="168" fontId="3" fillId="0" borderId="28" applyAlignment="1" applyProtection="1" pivotButton="0" quotePrefix="0" xfId="37">
      <alignment horizontal="center" vertical="center"/>
      <protection locked="0" hidden="0"/>
    </xf>
    <xf numFmtId="0" fontId="0" fillId="0" borderId="49" applyProtection="1" pivotButton="0" quotePrefix="0" xfId="0">
      <protection locked="0" hidden="0"/>
    </xf>
    <xf numFmtId="0" fontId="3" fillId="0" borderId="29" applyAlignment="1" applyProtection="1" pivotButton="0" quotePrefix="0" xfId="37">
      <alignment horizontal="center" vertical="center"/>
      <protection locked="0" hidden="0"/>
    </xf>
    <xf numFmtId="0" fontId="0" fillId="0" borderId="56" applyProtection="1" pivotButton="0" quotePrefix="0" xfId="0">
      <protection locked="0" hidden="0"/>
    </xf>
    <xf numFmtId="17" fontId="3" fillId="0" borderId="26" applyAlignment="1" applyProtection="1" pivotButton="0" quotePrefix="0" xfId="37">
      <alignment horizontal="center" vertical="center"/>
      <protection locked="0" hidden="0"/>
    </xf>
    <xf numFmtId="0" fontId="0" fillId="0" borderId="57" applyProtection="1" pivotButton="0" quotePrefix="0" xfId="0">
      <protection locked="0" hidden="0"/>
    </xf>
    <xf numFmtId="0" fontId="3" fillId="0" borderId="26" applyAlignment="1" applyProtection="1" pivotButton="0" quotePrefix="0" xfId="37">
      <alignment horizontal="center" vertical="center"/>
      <protection locked="0" hidden="0"/>
    </xf>
    <xf numFmtId="168" fontId="3" fillId="0" borderId="30" applyAlignment="1" applyProtection="1" pivotButton="0" quotePrefix="0" xfId="37">
      <alignment horizontal="center" vertical="center"/>
      <protection locked="0" hidden="0"/>
    </xf>
    <xf numFmtId="0" fontId="0" fillId="0" borderId="46" applyProtection="1" pivotButton="0" quotePrefix="0" xfId="0">
      <protection locked="0" hidden="0"/>
    </xf>
    <xf numFmtId="0" fontId="3" fillId="0" borderId="12" applyAlignment="1" applyProtection="1" pivotButton="0" quotePrefix="0" xfId="37">
      <alignment horizontal="center" vertical="center"/>
      <protection locked="0" hidden="0"/>
    </xf>
    <xf numFmtId="0" fontId="0" fillId="0" borderId="39" applyProtection="1" pivotButton="0" quotePrefix="0" xfId="0">
      <protection locked="0" hidden="0"/>
    </xf>
    <xf numFmtId="17" fontId="3" fillId="0" borderId="13" applyAlignment="1" applyProtection="1" pivotButton="0" quotePrefix="0" xfId="37">
      <alignment horizontal="center" vertical="center"/>
      <protection locked="0" hidden="0"/>
    </xf>
    <xf numFmtId="0" fontId="0" fillId="0" borderId="52" applyProtection="1" pivotButton="0" quotePrefix="0" xfId="0">
      <protection locked="0" hidden="0"/>
    </xf>
    <xf numFmtId="0" fontId="3" fillId="0" borderId="13" applyAlignment="1" applyProtection="1" pivotButton="0" quotePrefix="0" xfId="37">
      <alignment horizontal="center" vertical="center"/>
      <protection locked="0" hidden="0"/>
    </xf>
    <xf numFmtId="168" fontId="3" fillId="0" borderId="14" applyAlignment="1" applyProtection="1" pivotButton="0" quotePrefix="0" xfId="37">
      <alignment horizontal="center" vertical="center"/>
      <protection locked="0" hidden="0"/>
    </xf>
    <xf numFmtId="0" fontId="0" fillId="0" borderId="47" applyProtection="1" pivotButton="0" quotePrefix="0" xfId="0">
      <protection locked="0" hidden="0"/>
    </xf>
    <xf numFmtId="0" fontId="50" fillId="18" borderId="66" applyAlignment="1" applyProtection="1" pivotButton="0" quotePrefix="0" xfId="0">
      <alignment horizontal="center" vertical="center"/>
      <protection locked="1" hidden="1"/>
    </xf>
    <xf numFmtId="167" fontId="3" fillId="0" borderId="10" applyAlignment="1" applyProtection="1" pivotButton="0" quotePrefix="0" xfId="0">
      <alignment horizontal="center" vertical="center"/>
      <protection locked="0" hidden="0"/>
    </xf>
    <xf numFmtId="0" fontId="13" fillId="0" borderId="10" applyAlignment="1" applyProtection="1" pivotButton="0" quotePrefix="0" xfId="0">
      <alignment horizontal="center" vertical="center"/>
      <protection locked="0" hidden="0"/>
    </xf>
    <xf numFmtId="0" fontId="3" fillId="25" borderId="43" applyAlignment="1" applyProtection="1" pivotButton="0" quotePrefix="0" xfId="0">
      <alignment horizontal="center" vertical="center"/>
      <protection locked="1" hidden="1"/>
    </xf>
    <xf numFmtId="0" fontId="2" fillId="25" borderId="23" applyAlignment="1" applyProtection="1" pivotButton="0" quotePrefix="0" xfId="0">
      <alignment horizontal="center" vertical="center"/>
      <protection locked="1" hidden="1"/>
    </xf>
    <xf numFmtId="0" fontId="0" fillId="0" borderId="55" applyProtection="1" pivotButton="0" quotePrefix="0" xfId="0">
      <protection locked="1" hidden="1"/>
    </xf>
    <xf numFmtId="0" fontId="0" fillId="0" borderId="49" applyProtection="1" pivotButton="0" quotePrefix="0" xfId="0">
      <protection locked="1" hidden="1"/>
    </xf>
    <xf numFmtId="0" fontId="0" fillId="0" borderId="63" applyProtection="1" pivotButton="0" quotePrefix="0" xfId="0">
      <protection locked="1" hidden="1"/>
    </xf>
    <xf numFmtId="164" fontId="3" fillId="25" borderId="12" applyAlignment="1" applyProtection="1" pivotButton="0" quotePrefix="0" xfId="0">
      <alignment horizontal="center" vertical="center"/>
      <protection locked="1" hidden="1"/>
    </xf>
    <xf numFmtId="164" fontId="3" fillId="25" borderId="13" applyAlignment="1" applyProtection="1" pivotButton="0" quotePrefix="0" xfId="0">
      <alignment horizontal="center" vertical="center"/>
      <protection locked="1" hidden="1"/>
    </xf>
    <xf numFmtId="164" fontId="3" fillId="25" borderId="37" applyAlignment="1" applyProtection="1" pivotButton="0" quotePrefix="0" xfId="0">
      <alignment horizontal="center" vertical="center"/>
      <protection locked="1" hidden="1"/>
    </xf>
    <xf numFmtId="164" fontId="3" fillId="25" borderId="14" applyAlignment="1" applyProtection="1" pivotButton="0" quotePrefix="0" xfId="0">
      <alignment horizontal="center" vertical="center"/>
      <protection locked="1" hidden="1"/>
    </xf>
    <xf numFmtId="164" fontId="3" fillId="0" borderId="29" applyAlignment="1" applyProtection="1" pivotButton="0" quotePrefix="0" xfId="0">
      <alignment horizontal="center" vertical="center"/>
      <protection locked="0" hidden="0"/>
    </xf>
    <xf numFmtId="164" fontId="3" fillId="0" borderId="26" applyAlignment="1" applyProtection="1" pivotButton="0" quotePrefix="0" xfId="0">
      <alignment horizontal="center" vertical="center"/>
      <protection locked="0" hidden="0"/>
    </xf>
    <xf numFmtId="164" fontId="3" fillId="0" borderId="27" applyAlignment="1" applyProtection="1" pivotButton="0" quotePrefix="0" xfId="0">
      <alignment horizontal="center" vertical="center"/>
      <protection locked="0" hidden="0"/>
    </xf>
    <xf numFmtId="164" fontId="3" fillId="0" borderId="25" applyAlignment="1" applyProtection="1" pivotButton="0" quotePrefix="0" xfId="0">
      <alignment horizontal="center" vertical="center"/>
      <protection locked="0" hidden="0"/>
    </xf>
    <xf numFmtId="164" fontId="3" fillId="0" borderId="28" applyAlignment="1" applyProtection="1" pivotButton="0" quotePrefix="0" xfId="0">
      <alignment horizontal="center" vertical="center"/>
      <protection locked="0" hidden="0"/>
    </xf>
    <xf numFmtId="164" fontId="3" fillId="0" borderId="30" applyAlignment="1" applyProtection="1" pivotButton="0" quotePrefix="0" xfId="0">
      <alignment horizontal="center" vertical="center"/>
      <protection locked="0" hidden="0"/>
    </xf>
    <xf numFmtId="0" fontId="0" fillId="0" borderId="42" applyProtection="1" pivotButton="0" quotePrefix="0" xfId="0">
      <protection locked="0" hidden="0"/>
    </xf>
    <xf numFmtId="164" fontId="0" fillId="18" borderId="0" applyAlignment="1" applyProtection="1" pivotButton="0" quotePrefix="0" xfId="0">
      <alignment horizontal="right" vertical="center"/>
      <protection locked="1" hidden="1"/>
    </xf>
    <xf numFmtId="170" fontId="3" fillId="0" borderId="64" applyAlignment="1" applyProtection="1" pivotButton="0" quotePrefix="0" xfId="0">
      <alignment horizontal="center" vertical="center"/>
      <protection locked="0" hidden="0"/>
    </xf>
    <xf numFmtId="164" fontId="3" fillId="25" borderId="39" applyAlignment="1" applyProtection="1" pivotButton="0" quotePrefix="0" xfId="0">
      <alignment horizontal="center" vertical="center"/>
      <protection locked="1" hidden="1"/>
    </xf>
    <xf numFmtId="164" fontId="3" fillId="18" borderId="0" applyAlignment="1" applyProtection="1" pivotButton="0" quotePrefix="0" xfId="0">
      <alignment horizontal="center" vertical="center"/>
      <protection locked="1" hidden="1"/>
    </xf>
    <xf numFmtId="167" fontId="3" fillId="0" borderId="10" applyAlignment="1" applyProtection="1" pivotButton="0" quotePrefix="0" xfId="0">
      <alignment vertical="center"/>
      <protection locked="0" hidden="0"/>
    </xf>
    <xf numFmtId="0" fontId="2" fillId="22" borderId="35" applyAlignment="1" applyProtection="1" pivotButton="0" quotePrefix="0" xfId="0">
      <alignment horizontal="center" vertical="center"/>
      <protection locked="1" hidden="1"/>
    </xf>
    <xf numFmtId="0" fontId="0" fillId="0" borderId="65" applyProtection="1" pivotButton="0" quotePrefix="0" xfId="0">
      <protection locked="1" hidden="1"/>
    </xf>
    <xf numFmtId="164" fontId="39" fillId="22" borderId="10" applyAlignment="1" applyProtection="1" pivotButton="0" quotePrefix="0" xfId="0">
      <alignment horizontal="center" vertical="center"/>
      <protection locked="1" hidden="1"/>
    </xf>
    <xf numFmtId="164" fontId="3" fillId="22" borderId="43" applyAlignment="1" applyProtection="1" pivotButton="0" quotePrefix="0" xfId="0">
      <alignment horizontal="center" vertical="center"/>
      <protection locked="1" hidden="1"/>
    </xf>
    <xf numFmtId="164" fontId="39" fillId="22" borderId="35" applyAlignment="1" applyProtection="1" pivotButton="0" quotePrefix="0" xfId="0">
      <alignment horizontal="center" vertical="center"/>
      <protection locked="1" hidden="1"/>
    </xf>
    <xf numFmtId="164" fontId="3" fillId="22" borderId="10" applyAlignment="1" applyProtection="1" pivotButton="0" quotePrefix="0" xfId="0">
      <alignment horizontal="center" vertical="center"/>
      <protection locked="1" hidden="1"/>
    </xf>
    <xf numFmtId="171" fontId="3" fillId="0" borderId="64" applyAlignment="1" applyProtection="1" pivotButton="0" quotePrefix="0" xfId="0">
      <alignment horizontal="center" vertical="center"/>
      <protection locked="0" hidden="0"/>
    </xf>
    <xf numFmtId="0" fontId="51" fillId="0" borderId="10" applyAlignment="1" applyProtection="1" pivotButton="0" quotePrefix="0" xfId="37">
      <alignment horizontal="center" vertical="center"/>
      <protection locked="0" hidden="0"/>
    </xf>
    <xf numFmtId="14" fontId="3" fillId="0" borderId="10" applyAlignment="1" applyProtection="1" pivotButton="0" quotePrefix="0" xfId="37">
      <alignment horizontal="center" vertical="center"/>
      <protection locked="0" hidden="0"/>
    </xf>
    <xf numFmtId="0" fontId="52" fillId="0" borderId="10" applyAlignment="1" applyProtection="1" pivotButton="0" quotePrefix="0" xfId="37">
      <alignment horizontal="center" vertical="center"/>
      <protection locked="1" hidden="1"/>
    </xf>
    <xf numFmtId="0" fontId="2" fillId="27" borderId="10" applyAlignment="1" applyProtection="1" pivotButton="0" quotePrefix="0" xfId="37">
      <alignment horizontal="center" vertical="center"/>
      <protection locked="1" hidden="1"/>
    </xf>
    <xf numFmtId="0" fontId="54" fillId="28" borderId="10" applyAlignment="1" applyProtection="1" pivotButton="0" quotePrefix="0" xfId="37">
      <alignment horizontal="center" vertical="center"/>
      <protection locked="1" hidden="1"/>
    </xf>
    <xf numFmtId="0" fontId="67" fillId="29" borderId="10" applyAlignment="1" applyProtection="1" pivotButton="0" quotePrefix="0" xfId="37">
      <alignment horizontal="center" vertical="center"/>
      <protection locked="1" hidden="1"/>
    </xf>
    <xf numFmtId="0" fontId="67" fillId="29" borderId="10" applyAlignment="1" applyProtection="1" pivotButton="0" quotePrefix="0" xfId="37">
      <alignment horizontal="center" vertical="center"/>
      <protection locked="0" hidden="0"/>
    </xf>
    <xf numFmtId="0" fontId="3" fillId="0" borderId="10" applyAlignment="1" applyProtection="1" pivotButton="0" quotePrefix="0" xfId="37">
      <alignment horizontal="left" vertical="center"/>
      <protection locked="0" hidden="0"/>
    </xf>
    <xf numFmtId="169" fontId="3" fillId="0" borderId="0" applyAlignment="1" applyProtection="1" pivotButton="0" quotePrefix="0" xfId="37">
      <alignment horizontal="center" vertical="center"/>
      <protection locked="1" hidden="1"/>
    </xf>
    <xf numFmtId="170" fontId="3" fillId="0" borderId="10" applyAlignment="1" applyProtection="1" pivotButton="0" quotePrefix="0" xfId="37">
      <alignment horizontal="center" vertical="center"/>
      <protection locked="0" hidden="0"/>
    </xf>
    <xf numFmtId="170" fontId="3" fillId="0" borderId="0" applyAlignment="1" applyProtection="1" pivotButton="0" quotePrefix="0" xfId="37">
      <alignment horizontal="center" vertical="center"/>
      <protection locked="0" hidden="0"/>
    </xf>
  </cellXfs>
  <cellStyles count="46">
    <cellStyle name="Normal" xfId="0" builtinId="0"/>
    <cellStyle name="20% - Accent1" xfId="1" builtinId="30"/>
    <cellStyle name="20% - Accent2" xfId="2" builtinId="34"/>
    <cellStyle name="20% - Accent3" xfId="3" builtinId="38"/>
    <cellStyle name="20% - Accent4" xfId="4" builtinId="42"/>
    <cellStyle name="20% - Accent5" xfId="5" builtinId="46"/>
    <cellStyle name="20% - Accent6" xfId="6" builtinId="50"/>
    <cellStyle name="40% - Accent1" xfId="7" builtinId="31"/>
    <cellStyle name="40% - Accent2" xfId="8" builtinId="35"/>
    <cellStyle name="40% - Accent3" xfId="9" builtinId="39"/>
    <cellStyle name="40% - Accent4" xfId="10" builtinId="43"/>
    <cellStyle name="40% - Accent5" xfId="11" builtinId="47"/>
    <cellStyle name="40% - Accent6" xfId="12" builtinId="51"/>
    <cellStyle name="60% - Accent1" xfId="13" builtinId="32"/>
    <cellStyle name="60% - Accent2" xfId="14" builtinId="36"/>
    <cellStyle name="60% - Accent3" xfId="15" builtinId="40"/>
    <cellStyle name="60% - Accent4" xfId="16" builtinId="44"/>
    <cellStyle name="60% - Accent5" xfId="17" builtinId="48"/>
    <cellStyle name="60% - Accent6" xfId="18" builtinId="52"/>
    <cellStyle name="Accent1" xfId="19" builtinId="29"/>
    <cellStyle name="Accent2" xfId="20" builtinId="33"/>
    <cellStyle name="Accent3" xfId="21" builtinId="37"/>
    <cellStyle name="Accent4" xfId="22" builtinId="41"/>
    <cellStyle name="Accent5" xfId="23" builtinId="45"/>
    <cellStyle name="Accent6" xfId="24" builtinId="49"/>
    <cellStyle name="Bad" xfId="25" builtinId="27"/>
    <cellStyle name="Calculation" xfId="26" builtinId="22"/>
    <cellStyle name="Check Cell" xfId="27" builtinId="23"/>
    <cellStyle name="Explanatory Text" xfId="28" builtinId="53"/>
    <cellStyle name="Good" xfId="29" builtinId="26"/>
    <cellStyle name="Heading 1" xfId="30" builtinId="16"/>
    <cellStyle name="Heading 2" xfId="31" builtinId="17"/>
    <cellStyle name="Heading 3" xfId="32" builtinId="18"/>
    <cellStyle name="Heading 4" xfId="33" builtinId="19"/>
    <cellStyle name="Input" xfId="34" builtinId="20"/>
    <cellStyle name="Linked Cell" xfId="35" builtinId="24"/>
    <cellStyle name="Neutral" xfId="36" builtinId="28"/>
    <cellStyle name="Normal 2" xfId="37"/>
    <cellStyle name="Normal 2 2" xfId="38"/>
    <cellStyle name="Normal 2 2 2" xfId="39"/>
    <cellStyle name="Note" xfId="40" builtinId="10"/>
    <cellStyle name="Output" xfId="41" builtinId="21"/>
    <cellStyle name="Title" xfId="42" builtinId="15"/>
    <cellStyle name="Total" xfId="43" builtinId="25"/>
    <cellStyle name="Warning Text" xfId="44" builtinId="11"/>
    <cellStyle name="Normal 3" xfId="45"/>
  </cellStyles>
  <dxfs count="624"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color theme="5" tint="-0.499984740745262"/>
      </font>
      <fill>
        <patternFill>
          <bgColor theme="5" tint="0.3999450666829432"/>
        </patternFill>
      </fill>
    </dxf>
    <dxf>
      <font>
        <b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color theme="5" tint="-0.499984740745262"/>
      </font>
      <fill>
        <patternFill>
          <bgColor theme="5" tint="0.3999450666829432"/>
        </patternFill>
      </fill>
    </dxf>
    <dxf>
      <font>
        <b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color theme="5" tint="-0.499984740745262"/>
      </font>
      <fill>
        <patternFill>
          <bgColor theme="5" tint="0.3999450666829432"/>
        </patternFill>
      </fill>
    </dxf>
    <dxf>
      <font>
        <b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color theme="5" tint="-0.499984740745262"/>
      </font>
      <fill>
        <patternFill>
          <bgColor theme="5" tint="0.3999450666829432"/>
        </patternFill>
      </fill>
    </dxf>
    <dxf>
      <font>
        <b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color theme="5" tint="-0.499984740745262"/>
      </font>
      <fill>
        <patternFill>
          <bgColor theme="5" tint="0.3999450666829432"/>
        </patternFill>
      </fill>
    </dxf>
    <dxf>
      <font>
        <b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color theme="5" tint="-0.499984740745262"/>
      </font>
      <fill>
        <patternFill>
          <bgColor theme="5" tint="0.3999450666829432"/>
        </patternFill>
      </fill>
    </dxf>
    <dxf>
      <font>
        <b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color theme="5" tint="-0.499984740745262"/>
      </font>
      <fill>
        <patternFill>
          <bgColor theme="5" tint="0.3999450666829432"/>
        </patternFill>
      </fill>
    </dxf>
    <dxf>
      <font>
        <b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lor theme="6" tint="-0.499984740745262"/>
      </font>
      <fill>
        <patternFill>
          <bgColor theme="6" tint="0.3999450666829432"/>
        </patternFill>
      </fill>
    </dxf>
    <dxf>
      <font>
        <b val="1"/>
        <i val="1"/>
        <color theme="5" tint="-0.499984740745262"/>
      </font>
      <fill>
        <patternFill>
          <bgColor theme="5" tint="0.3999450666829432"/>
        </patternFill>
      </fill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  <dxf>
      <font>
        <b val="1"/>
        <i val="1"/>
        <condense val="0"/>
        <color indexed="12"/>
        <extend val="0"/>
      </font>
    </dxf>
    <dxf>
      <font>
        <b val="1"/>
        <i val="1"/>
        <condense val="0"/>
        <color indexed="10"/>
        <extend val="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externalLink" Target="/xl/externalLinks/externalLink1.xml" Id="rId10" /><Relationship Type="http://schemas.openxmlformats.org/officeDocument/2006/relationships/externalLink" Target="/xl/externalLinks/externalLink2.xml" Id="rId11" /><Relationship Type="http://schemas.openxmlformats.org/officeDocument/2006/relationships/styles" Target="styles.xml" Id="rId12" /><Relationship Type="http://schemas.openxmlformats.org/officeDocument/2006/relationships/theme" Target="theme/theme1.xml" Id="rId13" /></Relationships>
</file>

<file path=xl/comments/comment1.xml><?xml version="1.0" encoding="utf-8"?>
<comments xmlns="http://schemas.openxmlformats.org/spreadsheetml/2006/main">
  <authors>
    <author>Cecil Dondo</author>
  </authors>
  <commentList>
    <comment ref="L8" authorId="0" shapeId="0">
      <text>
        <t>Cecil Dondo:
'PC' ---&gt; Pressure Calibrator.</t>
      </text>
    </comment>
    <comment ref="C23" authorId="0" shapeId="0">
      <text>
        <t>Cecil Dondo:
No transducer.</t>
      </text>
    </comment>
    <comment ref="L63" authorId="0" shapeId="0">
      <text>
        <t>Cecil Dondo:
'PC' ---&gt; Pressure Calibrator.</t>
      </text>
    </comment>
    <comment ref="C64" authorId="0" shapeId="0">
      <text>
        <t xml:space="preserve">Cecil Dondo:
No transducer.
</t>
      </text>
    </comment>
    <comment ref="C84" authorId="0" shapeId="0">
      <text>
        <t>Cecil Dondo:
No Transducer.</t>
      </text>
    </comment>
    <comment ref="C86" authorId="0" shapeId="0">
      <text>
        <t>Cecil Dondo:
No Transducer.</t>
      </text>
    </comment>
    <comment ref="C88" authorId="0" shapeId="0">
      <text>
        <t>Cecil Dondo:
No Transducer.</t>
      </text>
    </comment>
    <comment ref="C90" authorId="0" shapeId="0">
      <text>
        <t>Cecil Dondo:
No Transducer.</t>
      </text>
    </comment>
    <comment ref="C92" authorId="0" shapeId="0">
      <text>
        <t>Cecil Dondo:
No Transducer.</t>
      </text>
    </comment>
    <comment ref="C94" authorId="0" shapeId="0">
      <text>
        <t>Cecil Dondo:
No Transducer.</t>
      </text>
    </comment>
    <comment ref="C96" authorId="0" shapeId="0">
      <text>
        <t>Cecil Dondo:
No Transducer.</t>
      </text>
    </comment>
    <comment ref="C98" authorId="0" shapeId="0">
      <text>
        <t>Cecil Dondo:
No Transducer.</t>
      </text>
    </comment>
    <comment ref="C100" authorId="0" shapeId="0">
      <text>
        <t>Cecil Dondo:
No Transducer.</t>
      </text>
    </comment>
    <comment ref="C102" authorId="0" shapeId="0">
      <text>
        <t>Cecil Dondo:
No Transducer.</t>
      </text>
    </comment>
  </commentList>
</comments>
</file>

<file path=xl/comments/comment2.xml><?xml version="1.0" encoding="utf-8"?>
<comments xmlns="http://schemas.openxmlformats.org/spreadsheetml/2006/main">
  <authors>
    <author>Cecil Dondo</author>
  </authors>
  <commentList>
    <comment ref="L8" authorId="0" shapeId="0">
      <text>
        <t>Cecil Dondo:
'PC' ---&gt; Pressure Calibrator.</t>
      </text>
    </comment>
    <comment ref="C29" authorId="0" shapeId="0">
      <text>
        <t>Cecil Dondo:
No transducer.</t>
      </text>
    </comment>
    <comment ref="L63" authorId="0" shapeId="0">
      <text>
        <t>Cecil Dondo:
'PC' ---&gt; Pressure Calibrator.</t>
      </text>
    </comment>
    <comment ref="C70" authorId="0" shapeId="0">
      <text>
        <t>Cecil Dondo:
No Transducer.</t>
      </text>
    </comment>
    <comment ref="C82" authorId="0" shapeId="0">
      <text>
        <t>Cecil Dondo:
No Transducer.</t>
      </text>
    </comment>
    <comment ref="C84" authorId="0" shapeId="0">
      <text>
        <t>Cecil Dondo:
No Transducer.</t>
      </text>
    </comment>
    <comment ref="C86" authorId="0" shapeId="0">
      <text>
        <t>Cecil Dondo:
No Transducer.</t>
      </text>
    </comment>
    <comment ref="C88" authorId="0" shapeId="0">
      <text>
        <t>Cecil Dondo:
No Transducer.</t>
      </text>
    </comment>
    <comment ref="C90" authorId="0" shapeId="0">
      <text>
        <t>Cecil Dondo:
No Transducer.</t>
      </text>
    </comment>
    <comment ref="C92" authorId="0" shapeId="0">
      <text>
        <t>Cecil Dondo:
No Transducer.</t>
      </text>
    </comment>
    <comment ref="C94" authorId="0" shapeId="0">
      <text>
        <t>Cecil Dondo:
No Transducer.</t>
      </text>
    </comment>
    <comment ref="C96" authorId="0" shapeId="0">
      <text>
        <t>Cecil Dondo:
No Transducer.</t>
      </text>
    </comment>
    <comment ref="C98" authorId="0" shapeId="0">
      <text>
        <t>Cecil Dondo:
No Transducer.</t>
      </text>
    </comment>
    <comment ref="C100" authorId="0" shapeId="0">
      <text>
        <t>Cecil Dondo:
No Transducer.</t>
      </text>
    </comment>
    <comment ref="C102" authorId="0" shapeId="0">
      <text>
        <t>Cecil Dondo:
No Transducer.</t>
      </text>
    </comment>
  </commentList>
</comments>
</file>

<file path=xl/externalLinks/_rels/externalLink1.xml.rels><Relationships xmlns="http://schemas.openxmlformats.org/package/2006/relationships"><Relationship Type="http://schemas.openxmlformats.org/officeDocument/2006/relationships/externalLinkPath" Target="file:///P:\GED-UK\ControlledDocuments\EtQ%20SWIs\Instrumentation\SWI-22624%20-%20DSG%20Test%20Bed%20Calibration\Transmission%20Speed%20Calibration%20Sheet.xlsm" TargetMode="External" Id="rId1" /></Relationships>
</file>

<file path=xl/externalLinks/_rels/externalLink2.xml.rels><Relationships xmlns="http://schemas.openxmlformats.org/package/2006/relationships"><Relationship Type="http://schemas.openxmlformats.org/officeDocument/2006/relationships/externalLinkPath" Target="https://caterpillar-my.sharepoint.com/personal/cecil_dondo_perkins_com/Documents/Microsoft%20Teams%20Chat%20Files/Cell%201%20Calibration%20-%20February%202023.xlsm" TargetMode="External" Id="rId1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Engine Speed"/>
      <sheetName val="TCOS"/>
      <sheetName val="CSOS"/>
      <sheetName val="CSOS2"/>
      <sheetName val="TOS"/>
    </sheetNames>
    <sheetDataSet>
      <sheetData sheetId="0"/>
      <sheetData sheetId="1">
        <row r="11">
          <cell r="H11" t="str">
            <v>C90</v>
          </cell>
        </row>
      </sheetData>
      <sheetData sheetId="2">
        <row r="17">
          <cell r="A17" t="str">
            <v>3rd Gear</v>
          </cell>
        </row>
        <row r="18">
          <cell r="A18" t="str">
            <v>4th Gear</v>
          </cell>
        </row>
      </sheetData>
      <sheetData sheetId="3"/>
      <sheetData sheetId="4"/>
    </sheetDataSet>
  </externalBook>
</externalLink>
</file>

<file path=xl/externalLinks/externalLink2.xml><?xml version="1.0" encoding="utf-8"?>
<externalLink xmlns:r="http://schemas.openxmlformats.org/officeDocument/2006/relationships" xmlns="http://schemas.openxmlformats.org/spreadsheetml/2006/main">
  <externalBook r:id="rId1">
    <sheetNames>
      <sheetName val="Title"/>
      <sheetName val="Pressures A"/>
      <sheetName val="Pressures B"/>
      <sheetName val="Low Temperatures"/>
      <sheetName val="High Temperatures A"/>
      <sheetName val="High Temperatures B"/>
      <sheetName val="Engine Speed"/>
      <sheetName val=" Report "/>
    </sheetNames>
    <sheetDataSet>
      <sheetData sheetId="0">
        <row r="12">
          <cell r="D12" t="str">
            <v>DEVT 892</v>
          </cell>
          <cell r="E12" t="str">
            <v>Intelligent Automated Pressure Calibrator</v>
          </cell>
          <cell r="F12" t="str">
            <v>811AG22040080</v>
          </cell>
          <cell r="G12">
            <v>45303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2.xml" Id="comments" /><Relationship Type="http://schemas.openxmlformats.org/officeDocument/2006/relationships/vmlDrawing" Target="/xl/drawings/commentsDrawing2.vml" Id="anysvml" /></Relationships>
</file>

<file path=xl/worksheets/sheet1.xml><?xml version="1.0" encoding="utf-8"?>
<worksheet xmlns="http://schemas.openxmlformats.org/spreadsheetml/2006/main">
  <sheetPr codeName="Sheet6">
    <tabColor rgb="FF00FF00"/>
    <outlinePr summaryBelow="1" summaryRight="1"/>
    <pageSetUpPr/>
  </sheetPr>
  <dimension ref="B2:Q131"/>
  <sheetViews>
    <sheetView showGridLines="0" workbookViewId="0">
      <selection activeCell="J20" sqref="J20"/>
    </sheetView>
  </sheetViews>
  <sheetFormatPr baseColWidth="8" defaultColWidth="9.1796875" defaultRowHeight="12.5"/>
  <cols>
    <col width="4" customWidth="1" style="1" min="1" max="1"/>
    <col width="19.1796875" bestFit="1" customWidth="1" style="1" min="2" max="2"/>
    <col width="15.6328125" bestFit="1" customWidth="1" style="1" min="3" max="3"/>
    <col width="7.26953125" bestFit="1" customWidth="1" style="1" min="4" max="4"/>
    <col width="25" bestFit="1" customWidth="1" style="1" min="5" max="5"/>
    <col width="24.1796875" bestFit="1" customWidth="1" style="1" min="6" max="6"/>
    <col width="13.453125" bestFit="1" customWidth="1" style="1" min="7" max="7"/>
    <col width="9.1796875" customWidth="1" style="1" min="8" max="16384"/>
  </cols>
  <sheetData>
    <row r="2" ht="34.9" customFormat="1" customHeight="1" s="2">
      <c r="B2" s="219" t="inlineStr">
        <is>
          <t>SEC Test Bed Calibration - SWI-62090</t>
        </is>
      </c>
      <c r="C2" s="366" t="n"/>
      <c r="D2" s="366" t="n"/>
      <c r="E2" s="366" t="n"/>
      <c r="F2" s="366" t="n"/>
      <c r="G2" s="140" t="n"/>
      <c r="H2" s="297" t="n"/>
      <c r="I2" s="297" t="n"/>
      <c r="J2" s="297" t="n"/>
      <c r="K2" s="297" t="n"/>
      <c r="L2" s="297" t="n"/>
      <c r="M2" s="297" t="n"/>
      <c r="N2" s="297" t="n"/>
      <c r="O2" s="297" t="n"/>
      <c r="P2" s="297" t="n"/>
      <c r="Q2" s="297" t="n"/>
    </row>
    <row r="3" ht="20.15" customFormat="1" customHeight="1" s="2">
      <c r="B3" s="150" t="inlineStr">
        <is>
          <t xml:space="preserve">Calibration Engineer: </t>
        </is>
      </c>
      <c r="C3" s="171" t="inlineStr">
        <is>
          <t>Cecil K Dondo</t>
        </is>
      </c>
      <c r="D3" s="297" t="n"/>
      <c r="E3" s="146" t="inlineStr">
        <is>
          <t>Test Bed Number:</t>
        </is>
      </c>
      <c r="F3" s="172" t="inlineStr">
        <is>
          <t>ST7 - TMA40533 (DEVT684)</t>
        </is>
      </c>
      <c r="G3" s="141" t="n"/>
      <c r="H3" s="297" t="n"/>
      <c r="I3" s="297" t="n"/>
      <c r="J3" s="297" t="n"/>
      <c r="K3" s="297" t="n"/>
      <c r="L3" s="297" t="n"/>
      <c r="M3" s="297" t="n"/>
      <c r="N3" s="297" t="n"/>
      <c r="O3" s="297" t="n"/>
      <c r="P3" s="297" t="n"/>
      <c r="Q3" s="297" t="n"/>
    </row>
    <row r="4" ht="20.15" customFormat="1" customHeight="1" s="2">
      <c r="B4" s="151" t="inlineStr">
        <is>
          <t>Job No.</t>
        </is>
      </c>
      <c r="C4" s="152" t="n">
        <v>3371270</v>
      </c>
      <c r="D4" s="297" t="n"/>
      <c r="E4" s="147" t="inlineStr">
        <is>
          <t>Next Calibration Due:</t>
        </is>
      </c>
      <c r="F4" s="367">
        <f>DATE(YEAR(C9) + 1,MONTH(C9),DAY(C9))</f>
        <v/>
      </c>
      <c r="G4" s="368" t="n"/>
      <c r="H4" s="297" t="n"/>
      <c r="I4" s="297" t="n"/>
      <c r="J4" s="297" t="n"/>
      <c r="K4" s="297" t="n"/>
      <c r="L4" s="297" t="n"/>
      <c r="M4" s="297" t="n"/>
      <c r="N4" s="297" t="n"/>
      <c r="O4" s="297" t="n"/>
      <c r="P4" s="297" t="n"/>
      <c r="Q4" s="297" t="n"/>
    </row>
    <row r="5" ht="20.15" customFormat="1" customHeight="1" s="2">
      <c r="B5" s="141" t="n"/>
      <c r="C5" s="143" t="n"/>
      <c r="D5" s="369" t="n"/>
      <c r="E5" s="369" t="n"/>
      <c r="F5" s="369" t="n"/>
      <c r="G5" s="368" t="n"/>
      <c r="H5" s="297" t="n"/>
      <c r="I5" s="297" t="n"/>
      <c r="J5" s="297" t="n"/>
      <c r="K5" s="297" t="n"/>
      <c r="L5" s="297" t="n"/>
      <c r="M5" s="297" t="n"/>
      <c r="N5" s="297" t="n"/>
      <c r="O5" s="297" t="n"/>
      <c r="P5" s="297" t="n"/>
      <c r="Q5" s="297" t="n"/>
    </row>
    <row r="6" ht="20.15" customFormat="1" customHeight="1" s="2">
      <c r="B6" s="141" t="n"/>
      <c r="C6" s="143" t="n"/>
      <c r="D6" s="369" t="n"/>
      <c r="E6" s="369" t="n"/>
      <c r="F6" s="369" t="n"/>
      <c r="G6" s="368" t="n"/>
      <c r="H6" s="297" t="n"/>
      <c r="I6" s="297" t="n"/>
      <c r="J6" s="297" t="n"/>
      <c r="K6" s="297" t="n"/>
      <c r="L6" s="297" t="n"/>
      <c r="M6" s="297" t="n"/>
      <c r="N6" s="297" t="n"/>
      <c r="O6" s="297" t="n"/>
      <c r="P6" s="297" t="n"/>
      <c r="Q6" s="297" t="n"/>
    </row>
    <row r="7" ht="20.15" customFormat="1" customHeight="1" s="2">
      <c r="B7" s="141" t="n"/>
      <c r="C7" s="143" t="n"/>
      <c r="D7" s="369" t="n"/>
      <c r="E7" s="369" t="n"/>
      <c r="F7" s="369" t="n"/>
      <c r="G7" s="368" t="n"/>
      <c r="H7" s="297" t="n"/>
      <c r="I7" s="297" t="n"/>
      <c r="J7" s="297" t="n"/>
      <c r="K7" s="297" t="n"/>
      <c r="L7" s="297" t="n"/>
      <c r="M7" s="297" t="n"/>
      <c r="N7" s="297" t="n"/>
      <c r="O7" s="297" t="n"/>
      <c r="P7" s="297" t="n"/>
      <c r="Q7" s="297" t="n"/>
    </row>
    <row r="8" ht="20.15" customFormat="1" customHeight="1" s="2">
      <c r="B8" s="141" t="n"/>
      <c r="C8" s="143" t="n"/>
      <c r="D8" s="369" t="n"/>
      <c r="E8" s="369" t="n"/>
      <c r="F8" s="369" t="n"/>
      <c r="G8" s="368" t="n"/>
      <c r="H8" s="297" t="n"/>
      <c r="I8" s="297" t="n"/>
      <c r="J8" s="297" t="n"/>
      <c r="K8" s="297" t="n"/>
      <c r="L8" s="297" t="n"/>
      <c r="M8" s="297" t="n"/>
      <c r="N8" s="297" t="n"/>
      <c r="O8" s="297" t="n"/>
      <c r="P8" s="297" t="n"/>
      <c r="Q8" s="297" t="n"/>
    </row>
    <row r="9" ht="14.5" customFormat="1" customHeight="1" s="2">
      <c r="B9" s="151" t="inlineStr">
        <is>
          <t>Date of Calibration:</t>
        </is>
      </c>
      <c r="C9" s="370" t="n">
        <v>45014</v>
      </c>
      <c r="D9" s="174" t="inlineStr">
        <is>
          <t>DEVT No.</t>
        </is>
      </c>
      <c r="E9" s="174" t="inlineStr">
        <is>
          <t>Make / Model</t>
        </is>
      </c>
      <c r="F9" s="174" t="inlineStr">
        <is>
          <t>Serial Number</t>
        </is>
      </c>
      <c r="G9" s="174" t="inlineStr">
        <is>
          <t>Next Calibration</t>
        </is>
      </c>
      <c r="H9" s="297" t="n"/>
      <c r="I9" s="297" t="n"/>
      <c r="J9" s="297" t="n"/>
      <c r="K9" s="297" t="n"/>
      <c r="L9" s="297" t="n"/>
      <c r="M9" s="297" t="n"/>
      <c r="N9" s="297" t="n"/>
      <c r="O9" s="297" t="n"/>
      <c r="P9" s="297" t="n"/>
      <c r="Q9" s="297" t="n"/>
    </row>
    <row r="10" ht="14.5" customFormat="1" customHeight="1" s="2">
      <c r="B10" s="173" t="inlineStr">
        <is>
          <t xml:space="preserve">Signed: </t>
        </is>
      </c>
      <c r="C10" s="297" t="n"/>
      <c r="D10" s="216" t="inlineStr">
        <is>
          <t>DEVT 891</t>
        </is>
      </c>
      <c r="E10" s="176" t="inlineStr">
        <is>
          <t>Additel Multifunction Process Calibrator</t>
        </is>
      </c>
      <c r="F10" s="217" t="n">
        <v>410220040064</v>
      </c>
      <c r="G10" s="371" t="n">
        <v>45303</v>
      </c>
      <c r="H10" s="297" t="n"/>
      <c r="I10" s="297" t="n"/>
      <c r="J10" s="297" t="n"/>
      <c r="K10" s="297" t="n"/>
      <c r="L10" s="297" t="n"/>
      <c r="M10" s="297" t="n"/>
      <c r="N10" s="297" t="n"/>
      <c r="O10" s="297" t="n"/>
      <c r="P10" s="297" t="n"/>
      <c r="Q10" s="297" t="n"/>
    </row>
    <row r="11" customFormat="1" s="2">
      <c r="B11" s="297" t="n"/>
      <c r="C11" s="297" t="n"/>
      <c r="D11" s="175" t="inlineStr">
        <is>
          <t>DEVT 547</t>
        </is>
      </c>
      <c r="E11" s="176" t="inlineStr">
        <is>
          <t>Tti 20MHz DDS Function Gen</t>
        </is>
      </c>
      <c r="F11" s="177" t="n">
        <v>280681</v>
      </c>
      <c r="G11" s="371" t="n">
        <v>45101</v>
      </c>
      <c r="H11" s="297" t="n"/>
      <c r="I11" s="297" t="n"/>
      <c r="J11" s="297" t="n"/>
      <c r="K11" s="297" t="n"/>
      <c r="L11" s="297" t="n"/>
      <c r="M11" s="297" t="n"/>
      <c r="N11" s="297" t="n"/>
      <c r="O11" s="297" t="n"/>
      <c r="P11" s="297" t="n"/>
      <c r="Q11" s="297" t="n"/>
    </row>
    <row r="12" ht="15.5" customFormat="1" customHeight="1" s="2">
      <c r="B12" s="141" t="n"/>
      <c r="C12" s="143" t="n"/>
      <c r="D12" s="175" t="inlineStr">
        <is>
          <t>DEVT 892</t>
        </is>
      </c>
      <c r="E12" s="176" t="inlineStr">
        <is>
          <t>Intelligent Automated Pressure Calibrator</t>
        </is>
      </c>
      <c r="F12" s="177" t="inlineStr">
        <is>
          <t>811AG22040080</t>
        </is>
      </c>
      <c r="G12" s="371">
        <f>G10</f>
        <v/>
      </c>
      <c r="H12" s="297" t="n"/>
      <c r="I12" s="297" t="n"/>
      <c r="J12" s="297" t="n"/>
      <c r="K12" s="297" t="n"/>
      <c r="L12" s="297" t="n"/>
      <c r="M12" s="297" t="n"/>
      <c r="N12" s="297" t="n"/>
      <c r="O12" s="297" t="n"/>
      <c r="P12" s="297" t="n"/>
      <c r="Q12" s="297" t="n"/>
    </row>
    <row r="13" customFormat="1" s="2">
      <c r="B13" s="297" t="n"/>
      <c r="C13" s="297" t="n"/>
      <c r="D13" s="175" t="inlineStr">
        <is>
          <t>DEVT 893</t>
        </is>
      </c>
      <c r="E13" s="176" t="inlineStr">
        <is>
          <t>Additel ADT155-02-CP15-PSI Intelligent Digital Pressure Module (-13 to 15psi)</t>
        </is>
      </c>
      <c r="F13" s="177" t="inlineStr">
        <is>
          <t>00522FD0038</t>
        </is>
      </c>
      <c r="G13" s="371">
        <f>G12</f>
        <v/>
      </c>
      <c r="H13" s="297" t="n"/>
      <c r="I13" s="297" t="n"/>
      <c r="J13" s="297" t="n"/>
      <c r="K13" s="297" t="n"/>
      <c r="L13" s="297" t="n"/>
      <c r="M13" s="297" t="n"/>
      <c r="N13" s="297" t="n"/>
      <c r="O13" s="297" t="n"/>
      <c r="P13" s="297" t="n"/>
      <c r="Q13" s="297" t="n"/>
    </row>
    <row r="14" customFormat="1" s="2">
      <c r="B14" s="297" t="n"/>
      <c r="C14" s="297" t="n"/>
      <c r="D14" s="175" t="n"/>
      <c r="E14" s="176" t="n"/>
      <c r="F14" s="177" t="n"/>
      <c r="G14" s="371" t="n"/>
      <c r="H14" s="297" t="n"/>
      <c r="I14" s="297" t="n"/>
      <c r="J14" s="297" t="n"/>
      <c r="K14" s="297" t="n"/>
      <c r="L14" s="297" t="n"/>
      <c r="M14" s="297" t="n"/>
      <c r="N14" s="297" t="n"/>
      <c r="O14" s="297" t="n"/>
      <c r="P14" s="297" t="n"/>
      <c r="Q14" s="297" t="n"/>
    </row>
    <row r="15" customFormat="1" s="2">
      <c r="B15" s="297" t="n"/>
      <c r="C15" s="297" t="n"/>
      <c r="D15" s="175" t="n"/>
      <c r="E15" s="176" t="n"/>
      <c r="F15" s="177" t="n"/>
      <c r="G15" s="371" t="n"/>
      <c r="H15" s="297" t="n"/>
      <c r="I15" s="297" t="n"/>
      <c r="J15" s="297" t="n"/>
      <c r="K15" s="297" t="n"/>
      <c r="L15" s="297" t="n"/>
      <c r="M15" s="297" t="n"/>
      <c r="N15" s="297" t="n"/>
      <c r="O15" s="297" t="n"/>
      <c r="P15" s="297" t="n"/>
      <c r="Q15" s="297" t="n"/>
    </row>
    <row r="16">
      <c r="B16" s="17" t="n"/>
      <c r="C16" s="17" t="n"/>
      <c r="D16" s="311" t="n"/>
      <c r="E16" s="311" t="n"/>
      <c r="F16" s="311" t="n"/>
      <c r="G16" s="311" t="n"/>
      <c r="H16" s="311" t="n"/>
      <c r="I16" s="311" t="n"/>
      <c r="J16" s="311" t="n"/>
      <c r="K16" s="168" t="n"/>
      <c r="L16" s="311" t="n"/>
      <c r="M16" s="168" t="n"/>
      <c r="N16" s="168" t="n"/>
      <c r="O16" s="311" t="n"/>
      <c r="P16" s="311" t="n"/>
      <c r="Q16" s="311" t="n"/>
    </row>
    <row r="17" ht="13" customHeight="1">
      <c r="B17" s="62" t="n"/>
      <c r="C17" s="62" t="n"/>
      <c r="D17" s="311" t="n"/>
      <c r="E17" s="311" t="n"/>
      <c r="F17" s="311" t="n"/>
      <c r="G17" s="311" t="n"/>
      <c r="H17" s="311" t="n"/>
      <c r="I17" s="311" t="n"/>
      <c r="J17" s="311" t="n"/>
      <c r="K17" s="169" t="n"/>
      <c r="L17" s="311" t="n"/>
      <c r="M17" s="372" t="n"/>
      <c r="N17" s="372" t="n"/>
      <c r="O17" s="311" t="n"/>
      <c r="P17" s="311" t="n"/>
      <c r="Q17" s="311" t="n"/>
    </row>
    <row r="18" ht="13" customHeight="1">
      <c r="B18" s="62" t="n"/>
      <c r="C18" s="62" t="n"/>
      <c r="D18" s="311" t="n"/>
      <c r="E18" s="311" t="n"/>
      <c r="F18" s="311" t="n"/>
      <c r="G18" s="311" t="n"/>
      <c r="H18" s="311" t="n"/>
      <c r="I18" s="311" t="n"/>
      <c r="J18" s="311" t="n"/>
      <c r="K18" s="169" t="n"/>
      <c r="L18" s="311" t="n"/>
      <c r="M18" s="372" t="n"/>
      <c r="N18" s="372" t="n"/>
      <c r="O18" s="311" t="n"/>
      <c r="P18" s="311" t="n"/>
      <c r="Q18" s="311" t="n"/>
    </row>
    <row r="19" ht="13" customHeight="1">
      <c r="B19" s="62" t="n"/>
      <c r="C19" s="311" t="n"/>
      <c r="D19" s="311" t="n"/>
      <c r="E19" s="311" t="n"/>
      <c r="F19" s="311" t="n"/>
      <c r="G19" s="311" t="n"/>
      <c r="H19" s="311" t="n"/>
      <c r="I19" s="311" t="n"/>
      <c r="J19" s="311" t="n"/>
      <c r="K19" s="169" t="n"/>
      <c r="L19" s="311" t="n"/>
      <c r="M19" s="372" t="n"/>
      <c r="N19" s="372" t="n"/>
      <c r="O19" s="311" t="n"/>
      <c r="P19" s="311" t="n"/>
      <c r="Q19" s="311" t="n"/>
    </row>
    <row r="20" ht="13" customHeight="1">
      <c r="B20" s="62" t="n"/>
      <c r="C20" s="62" t="n"/>
      <c r="D20" s="311" t="n"/>
      <c r="E20" s="311" t="n"/>
      <c r="F20" s="311" t="n"/>
      <c r="G20" s="311" t="n"/>
      <c r="H20" s="311" t="n"/>
      <c r="I20" s="311" t="n"/>
      <c r="J20" s="311" t="n"/>
      <c r="K20" s="169" t="n"/>
      <c r="L20" s="311" t="n"/>
      <c r="M20" s="372" t="n"/>
      <c r="N20" s="372" t="n"/>
      <c r="O20" s="311" t="n"/>
      <c r="P20" s="311" t="n"/>
      <c r="Q20" s="311" t="n"/>
    </row>
    <row r="21" ht="13" customHeight="1">
      <c r="B21" s="62" t="n"/>
      <c r="C21" s="62" t="n"/>
      <c r="D21" s="311" t="n"/>
      <c r="E21" s="311" t="n"/>
      <c r="F21" s="311" t="n"/>
      <c r="G21" s="311" t="n"/>
      <c r="H21" s="311" t="n"/>
      <c r="I21" s="311" t="n"/>
      <c r="J21" s="311" t="n"/>
      <c r="K21" s="169" t="n"/>
      <c r="L21" s="311" t="n"/>
      <c r="M21" s="372" t="n"/>
      <c r="N21" s="372" t="n"/>
      <c r="O21" s="311" t="n"/>
      <c r="P21" s="311" t="n"/>
      <c r="Q21" s="311" t="n"/>
    </row>
    <row r="22" ht="13" customHeight="1">
      <c r="B22" s="62" t="n"/>
      <c r="C22" s="62" t="n"/>
      <c r="D22" s="62" t="n"/>
      <c r="E22" s="373" t="n"/>
      <c r="F22" s="373" t="n"/>
      <c r="G22" s="373" t="n"/>
      <c r="H22" s="311" t="n"/>
      <c r="I22" s="311" t="n"/>
      <c r="J22" s="311" t="n"/>
      <c r="K22" s="311" t="n"/>
      <c r="L22" s="311" t="n"/>
      <c r="M22" s="311" t="n"/>
      <c r="N22" s="311" t="n"/>
      <c r="O22" s="311" t="n"/>
      <c r="P22" s="311" t="n"/>
      <c r="Q22" s="311" t="n"/>
    </row>
    <row r="23" ht="13" customHeight="1">
      <c r="B23" s="62" t="n"/>
      <c r="C23" s="62" t="n"/>
      <c r="D23" s="62" t="n"/>
      <c r="E23" s="374" t="n"/>
      <c r="F23" s="374" t="n"/>
      <c r="G23" s="374" t="n"/>
      <c r="H23" s="311" t="n"/>
      <c r="I23" s="311" t="n"/>
      <c r="J23" s="311" t="n"/>
      <c r="K23" s="311" t="n"/>
      <c r="L23" s="311" t="n"/>
      <c r="M23" s="311" t="n"/>
      <c r="N23" s="311" t="n"/>
      <c r="O23" s="311" t="n"/>
      <c r="P23" s="311" t="n"/>
      <c r="Q23" s="311" t="n"/>
    </row>
    <row r="24" ht="13" customHeight="1">
      <c r="B24" s="62" t="n"/>
      <c r="C24" s="62" t="n"/>
      <c r="D24" s="62" t="n"/>
      <c r="E24" s="373" t="n"/>
      <c r="F24" s="373" t="n"/>
      <c r="G24" s="373" t="n"/>
      <c r="H24" s="311" t="n"/>
      <c r="I24" s="311" t="n"/>
      <c r="J24" s="311" t="n"/>
      <c r="K24" s="311" t="n"/>
      <c r="L24" s="311" t="n"/>
      <c r="M24" s="311" t="n"/>
      <c r="N24" s="311" t="n"/>
      <c r="O24" s="311" t="n"/>
      <c r="P24" s="311" t="n"/>
      <c r="Q24" s="311" t="n"/>
    </row>
    <row r="25" ht="13" customHeight="1">
      <c r="B25" s="62" t="n"/>
      <c r="C25" s="62" t="n"/>
      <c r="D25" s="62" t="n"/>
      <c r="E25" s="374" t="n"/>
      <c r="F25" s="374" t="n"/>
      <c r="G25" s="374" t="n"/>
      <c r="H25" s="311" t="n"/>
      <c r="I25" s="311" t="n"/>
      <c r="J25" s="311" t="n"/>
      <c r="K25" s="311" t="n"/>
      <c r="L25" s="311" t="n"/>
      <c r="M25" s="311" t="n"/>
      <c r="N25" s="311" t="n"/>
      <c r="O25" s="311" t="n"/>
      <c r="P25" s="311" t="n"/>
      <c r="Q25" s="311" t="n"/>
    </row>
    <row r="26" ht="13" customHeight="1">
      <c r="B26" s="62" t="n"/>
      <c r="C26" s="62" t="n"/>
      <c r="D26" s="62" t="n"/>
      <c r="E26" s="373" t="n"/>
      <c r="F26" s="373" t="n"/>
      <c r="G26" s="373" t="n"/>
      <c r="H26" s="311" t="n"/>
      <c r="I26" s="311" t="n"/>
      <c r="J26" s="311" t="n"/>
      <c r="K26" s="311" t="n"/>
      <c r="L26" s="311" t="n"/>
      <c r="M26" s="311" t="n"/>
      <c r="N26" s="311" t="n"/>
      <c r="O26" s="311" t="n"/>
      <c r="P26" s="311" t="n"/>
      <c r="Q26" s="311" t="n"/>
    </row>
    <row r="27" ht="13" customHeight="1">
      <c r="B27" s="62" t="n"/>
      <c r="C27" s="62" t="n"/>
      <c r="D27" s="62" t="n"/>
      <c r="E27" s="374" t="n"/>
      <c r="F27" s="374" t="n"/>
      <c r="G27" s="374" t="n"/>
      <c r="H27" s="311" t="n"/>
      <c r="I27" s="311" t="n"/>
      <c r="J27" s="311" t="n"/>
      <c r="K27" s="311" t="n"/>
      <c r="L27" s="311" t="n"/>
      <c r="M27" s="311" t="n"/>
      <c r="N27" s="311" t="n"/>
      <c r="O27" s="311" t="n"/>
      <c r="P27" s="311" t="n"/>
      <c r="Q27" s="311" t="n"/>
    </row>
    <row r="28" ht="13" customHeight="1">
      <c r="B28" s="62" t="n"/>
      <c r="C28" s="62" t="n"/>
      <c r="D28" s="62" t="n"/>
      <c r="E28" s="373" t="n"/>
      <c r="F28" s="373" t="n"/>
      <c r="G28" s="373" t="n"/>
      <c r="H28" s="311" t="n"/>
      <c r="I28" s="311" t="n"/>
      <c r="J28" s="311" t="n"/>
      <c r="K28" s="311" t="n"/>
      <c r="L28" s="311" t="n"/>
      <c r="M28" s="311" t="n"/>
      <c r="N28" s="311" t="n"/>
      <c r="O28" s="311" t="n"/>
      <c r="P28" s="311" t="n"/>
      <c r="Q28" s="311" t="n"/>
    </row>
    <row r="29" ht="13" customHeight="1">
      <c r="B29" s="62" t="n"/>
      <c r="C29" s="62" t="n"/>
      <c r="D29" s="62" t="n"/>
      <c r="E29" s="374" t="n"/>
      <c r="F29" s="374" t="n"/>
      <c r="G29" s="374" t="n"/>
      <c r="H29" s="311" t="n"/>
      <c r="I29" s="311" t="n"/>
      <c r="J29" s="311" t="n"/>
      <c r="K29" s="311" t="n"/>
      <c r="L29" s="311" t="n"/>
      <c r="M29" s="311" t="n"/>
      <c r="N29" s="311" t="n"/>
      <c r="O29" s="311" t="n"/>
      <c r="P29" s="311" t="n"/>
      <c r="Q29" s="311" t="n"/>
    </row>
    <row r="30" ht="13" customHeight="1">
      <c r="B30" s="62" t="n"/>
      <c r="C30" s="62" t="n"/>
      <c r="D30" s="62" t="n"/>
      <c r="E30" s="373" t="n"/>
      <c r="F30" s="373" t="n"/>
      <c r="G30" s="373" t="n"/>
      <c r="H30" s="311" t="n"/>
      <c r="I30" s="311" t="n"/>
      <c r="J30" s="311" t="n"/>
      <c r="K30" s="311" t="n"/>
      <c r="L30" s="311" t="n"/>
      <c r="M30" s="311" t="n"/>
      <c r="N30" s="311" t="n"/>
      <c r="O30" s="311" t="n"/>
      <c r="P30" s="311" t="n"/>
      <c r="Q30" s="311" t="n"/>
    </row>
    <row r="31" ht="13" customHeight="1">
      <c r="B31" s="62" t="n"/>
      <c r="C31" s="62" t="n"/>
      <c r="D31" s="62" t="n"/>
      <c r="E31" s="374" t="n"/>
      <c r="F31" s="374" t="n"/>
      <c r="G31" s="374" t="n"/>
      <c r="H31" s="311" t="n"/>
      <c r="I31" s="311" t="n"/>
      <c r="J31" s="311" t="n"/>
      <c r="K31" s="311" t="n"/>
      <c r="L31" s="311" t="n"/>
      <c r="M31" s="311" t="n"/>
      <c r="N31" s="311" t="n"/>
      <c r="O31" s="311" t="n"/>
      <c r="P31" s="311" t="n"/>
      <c r="Q31" s="311" t="n"/>
    </row>
    <row r="32" ht="13" customHeight="1">
      <c r="B32" s="62" t="n"/>
      <c r="C32" s="62" t="n"/>
      <c r="D32" s="62" t="n"/>
      <c r="E32" s="373" t="n"/>
      <c r="F32" s="373" t="n"/>
      <c r="G32" s="373" t="n"/>
      <c r="H32" s="311" t="n"/>
      <c r="I32" s="311" t="n"/>
      <c r="J32" s="311" t="n"/>
      <c r="K32" s="311" t="n"/>
      <c r="L32" s="311" t="n"/>
      <c r="M32" s="311" t="n"/>
      <c r="N32" s="311" t="n"/>
      <c r="O32" s="311" t="n"/>
      <c r="P32" s="311" t="n"/>
      <c r="Q32" s="311" t="n"/>
    </row>
    <row r="33" ht="13" customHeight="1">
      <c r="B33" s="62" t="n"/>
      <c r="C33" s="62" t="n"/>
      <c r="D33" s="62" t="n"/>
      <c r="E33" s="374" t="n"/>
      <c r="F33" s="374" t="n"/>
      <c r="G33" s="374" t="n"/>
      <c r="H33" s="311" t="n"/>
    </row>
    <row r="34" ht="13" customHeight="1">
      <c r="B34" s="62" t="n"/>
      <c r="C34" s="62" t="n"/>
      <c r="D34" s="62" t="n"/>
      <c r="E34" s="373" t="n"/>
      <c r="F34" s="373" t="n"/>
      <c r="G34" s="373" t="n"/>
      <c r="H34" s="311" t="n"/>
    </row>
    <row r="35" ht="13" customHeight="1">
      <c r="B35" s="62" t="n"/>
      <c r="C35" s="62" t="n"/>
      <c r="D35" s="62" t="n"/>
      <c r="E35" s="374" t="n"/>
      <c r="F35" s="374" t="n"/>
      <c r="G35" s="374" t="n"/>
      <c r="H35" s="311" t="n"/>
    </row>
    <row r="36" ht="13" customHeight="1">
      <c r="B36" s="62" t="n"/>
      <c r="C36" s="62" t="n"/>
      <c r="D36" s="62" t="n"/>
      <c r="E36" s="373" t="n"/>
      <c r="F36" s="373" t="n"/>
      <c r="G36" s="373" t="n"/>
      <c r="H36" s="311" t="n"/>
    </row>
    <row r="37" ht="13" customHeight="1">
      <c r="B37" s="62" t="n"/>
      <c r="C37" s="62" t="n"/>
      <c r="D37" s="62" t="n"/>
      <c r="E37" s="374" t="n"/>
      <c r="F37" s="374" t="n"/>
      <c r="G37" s="374" t="n"/>
      <c r="H37" s="311" t="n"/>
    </row>
    <row r="38" ht="13" customHeight="1">
      <c r="B38" s="62" t="n"/>
      <c r="C38" s="62" t="n"/>
      <c r="D38" s="62" t="n"/>
      <c r="E38" s="373" t="n"/>
      <c r="F38" s="373" t="n"/>
      <c r="G38" s="373" t="n"/>
      <c r="H38" s="311" t="n"/>
    </row>
    <row r="39" ht="13" customHeight="1">
      <c r="B39" s="62" t="n"/>
      <c r="C39" s="62" t="n"/>
      <c r="D39" s="62" t="n"/>
      <c r="E39" s="374" t="n"/>
      <c r="F39" s="374" t="n"/>
      <c r="G39" s="374" t="n"/>
      <c r="H39" s="311" t="n"/>
    </row>
    <row r="40" ht="13" customHeight="1">
      <c r="B40" s="62" t="n"/>
      <c r="C40" s="62" t="n"/>
      <c r="D40" s="62" t="n"/>
      <c r="E40" s="373" t="n"/>
      <c r="F40" s="373" t="n"/>
      <c r="G40" s="373" t="n"/>
      <c r="H40" s="311" t="n"/>
    </row>
    <row r="41" ht="13" customHeight="1">
      <c r="B41" s="62" t="n"/>
      <c r="C41" s="62" t="n"/>
      <c r="D41" s="62" t="n"/>
      <c r="E41" s="311" t="n"/>
      <c r="F41" s="311" t="n"/>
      <c r="G41" s="311" t="n"/>
      <c r="H41" s="311" t="n"/>
    </row>
    <row r="42" ht="13" customHeight="1">
      <c r="B42" s="62" t="n"/>
      <c r="C42" s="62" t="n"/>
      <c r="D42" s="62" t="n"/>
      <c r="E42" s="65" t="n"/>
      <c r="F42" s="65" t="n"/>
      <c r="G42" s="65" t="n"/>
      <c r="H42" s="311" t="n"/>
    </row>
    <row r="43" ht="13" customHeight="1">
      <c r="B43" s="62" t="n"/>
      <c r="C43" s="62" t="n"/>
      <c r="D43" s="62" t="n"/>
      <c r="E43" s="311" t="n"/>
      <c r="F43" s="311" t="n"/>
      <c r="G43" s="311" t="n"/>
      <c r="H43" s="311" t="n"/>
    </row>
    <row r="44">
      <c r="B44" s="311" t="n"/>
      <c r="C44" s="311" t="n"/>
      <c r="D44" s="311" t="n"/>
      <c r="E44" s="311" t="n"/>
      <c r="F44" s="311" t="n"/>
      <c r="G44" s="311" t="n"/>
      <c r="H44" s="311" t="n"/>
    </row>
    <row r="45">
      <c r="B45" s="311" t="n"/>
      <c r="C45" s="311" t="n"/>
      <c r="D45" s="311" t="n"/>
      <c r="E45" s="311" t="n"/>
      <c r="F45" s="311" t="n"/>
      <c r="G45" s="311" t="n"/>
      <c r="H45" s="311" t="n"/>
    </row>
    <row r="46">
      <c r="B46" s="311" t="n"/>
      <c r="C46" s="311" t="n"/>
      <c r="D46" s="311" t="n"/>
      <c r="E46" s="311" t="n"/>
      <c r="F46" s="311" t="n"/>
      <c r="G46" s="311" t="n"/>
      <c r="H46" s="311" t="n"/>
    </row>
    <row r="47">
      <c r="B47" s="311" t="n"/>
      <c r="C47" s="311" t="n"/>
      <c r="D47" s="311" t="n"/>
      <c r="E47" s="311" t="n"/>
      <c r="F47" s="311" t="n"/>
      <c r="G47" s="311" t="n"/>
      <c r="H47" s="311" t="n"/>
    </row>
    <row r="48">
      <c r="B48" s="311" t="n"/>
      <c r="C48" s="311" t="n"/>
      <c r="D48" s="311" t="n"/>
      <c r="E48" s="311" t="n"/>
      <c r="F48" s="311" t="n"/>
      <c r="G48" s="311" t="n"/>
      <c r="H48" s="311" t="n"/>
    </row>
    <row r="49">
      <c r="B49" s="311" t="n"/>
      <c r="C49" s="311" t="n"/>
      <c r="D49" s="311" t="n"/>
      <c r="E49" s="311" t="n"/>
      <c r="F49" s="311" t="n"/>
      <c r="G49" s="311" t="n"/>
      <c r="H49" s="311" t="n"/>
    </row>
    <row r="50">
      <c r="B50" s="311" t="n"/>
      <c r="C50" s="311" t="n"/>
      <c r="D50" s="311" t="n"/>
      <c r="E50" s="311" t="n"/>
      <c r="F50" s="311" t="n"/>
      <c r="G50" s="311" t="n"/>
      <c r="H50" s="311" t="n"/>
    </row>
    <row r="51">
      <c r="B51" s="311" t="n"/>
      <c r="C51" s="311" t="n"/>
      <c r="D51" s="311" t="n"/>
      <c r="E51" s="311" t="n"/>
      <c r="F51" s="311" t="n"/>
      <c r="G51" s="311" t="n"/>
      <c r="H51" s="311" t="n"/>
    </row>
    <row r="52">
      <c r="B52" s="311" t="n"/>
      <c r="C52" s="311" t="n"/>
      <c r="D52" s="311" t="n"/>
      <c r="E52" s="311" t="n"/>
      <c r="F52" s="311" t="n"/>
      <c r="G52" s="311" t="n"/>
      <c r="H52" s="311" t="n"/>
    </row>
    <row r="53">
      <c r="B53" s="311" t="n"/>
      <c r="C53" s="311" t="n"/>
      <c r="D53" s="311" t="n"/>
      <c r="E53" s="311" t="n"/>
      <c r="F53" s="311" t="n"/>
      <c r="G53" s="311" t="n"/>
      <c r="H53" s="311" t="n"/>
    </row>
    <row r="54">
      <c r="B54" s="311" t="n"/>
      <c r="C54" s="311" t="n"/>
      <c r="D54" s="311" t="n"/>
      <c r="E54" s="311" t="n"/>
      <c r="F54" s="311" t="n"/>
      <c r="G54" s="311" t="n"/>
      <c r="H54" s="311" t="n"/>
    </row>
    <row r="55">
      <c r="B55" s="311" t="n"/>
      <c r="C55" s="311" t="n"/>
      <c r="D55" s="311" t="n"/>
      <c r="E55" s="311" t="n"/>
      <c r="F55" s="311" t="n"/>
      <c r="G55" s="311" t="n"/>
      <c r="H55" s="311" t="n"/>
    </row>
    <row r="56">
      <c r="B56" s="311" t="n"/>
      <c r="C56" s="311" t="n"/>
      <c r="D56" s="311" t="n"/>
      <c r="E56" s="311" t="n"/>
      <c r="F56" s="311" t="n"/>
      <c r="G56" s="311" t="n"/>
      <c r="H56" s="311" t="n"/>
    </row>
    <row r="57">
      <c r="B57" s="311" t="n"/>
      <c r="C57" s="311" t="n"/>
      <c r="D57" s="311" t="n"/>
      <c r="E57" s="311" t="n"/>
      <c r="F57" s="311" t="n"/>
      <c r="G57" s="311" t="n"/>
      <c r="H57" s="311" t="n"/>
    </row>
    <row r="58">
      <c r="B58" s="311" t="n"/>
      <c r="C58" s="311" t="n"/>
      <c r="D58" s="311" t="n"/>
      <c r="E58" s="311" t="n"/>
      <c r="F58" s="311" t="n"/>
      <c r="G58" s="311" t="n"/>
      <c r="H58" s="311" t="n"/>
    </row>
    <row r="59">
      <c r="B59" s="311" t="n"/>
      <c r="C59" s="311" t="n"/>
      <c r="D59" s="311" t="n"/>
      <c r="E59" s="311" t="n"/>
      <c r="F59" s="311" t="n"/>
      <c r="G59" s="311" t="n"/>
      <c r="H59" s="311" t="n"/>
    </row>
    <row r="60">
      <c r="B60" s="311" t="n"/>
      <c r="C60" s="311" t="n"/>
      <c r="D60" s="311" t="n"/>
      <c r="E60" s="311" t="n"/>
      <c r="F60" s="311" t="n"/>
      <c r="G60" s="311" t="n"/>
      <c r="H60" s="311" t="n"/>
    </row>
    <row r="61">
      <c r="B61" s="311" t="n"/>
      <c r="C61" s="311" t="n"/>
      <c r="D61" s="311" t="n"/>
      <c r="E61" s="311" t="n"/>
      <c r="F61" s="311" t="n"/>
      <c r="G61" s="311" t="n"/>
      <c r="H61" s="311" t="n"/>
    </row>
    <row r="62">
      <c r="B62" s="311" t="n"/>
      <c r="C62" s="311" t="n"/>
      <c r="D62" s="311" t="n"/>
      <c r="E62" s="311" t="n"/>
      <c r="F62" s="311" t="n"/>
      <c r="G62" s="311" t="n"/>
      <c r="H62" s="311" t="n"/>
    </row>
    <row r="63">
      <c r="B63" s="311" t="n"/>
      <c r="C63" s="311" t="n"/>
      <c r="D63" s="311" t="n"/>
      <c r="E63" s="311" t="n"/>
      <c r="F63" s="311" t="n"/>
      <c r="G63" s="311" t="n"/>
      <c r="H63" s="311" t="n"/>
    </row>
    <row r="64">
      <c r="B64" s="311" t="n"/>
      <c r="C64" s="311" t="n"/>
      <c r="D64" s="311" t="n"/>
      <c r="E64" s="311" t="n"/>
      <c r="F64" s="311" t="n"/>
      <c r="G64" s="311" t="n"/>
      <c r="H64" s="311" t="n"/>
    </row>
    <row r="65">
      <c r="B65" s="311" t="n"/>
      <c r="C65" s="311" t="n"/>
      <c r="D65" s="311" t="n"/>
      <c r="E65" s="311" t="n"/>
      <c r="F65" s="311" t="n"/>
      <c r="G65" s="311" t="n"/>
      <c r="H65" s="311" t="n"/>
    </row>
    <row r="66">
      <c r="B66" s="311" t="n"/>
      <c r="C66" s="311" t="n"/>
      <c r="D66" s="311" t="n"/>
      <c r="E66" s="311" t="n"/>
      <c r="F66" s="311" t="n"/>
      <c r="G66" s="311" t="n"/>
      <c r="H66" s="311" t="n"/>
    </row>
    <row r="67">
      <c r="B67" s="311" t="n"/>
      <c r="C67" s="311" t="n"/>
      <c r="D67" s="311" t="n"/>
      <c r="E67" s="311" t="n"/>
      <c r="F67" s="311" t="n"/>
      <c r="G67" s="311" t="n"/>
      <c r="H67" s="311" t="n"/>
    </row>
    <row r="68">
      <c r="B68" s="311" t="n"/>
      <c r="C68" s="311" t="n"/>
      <c r="D68" s="311" t="n"/>
      <c r="E68" s="311" t="n"/>
      <c r="F68" s="311" t="n"/>
      <c r="G68" s="311" t="n"/>
      <c r="H68" s="311" t="n"/>
    </row>
    <row r="69">
      <c r="B69" s="311" t="n"/>
      <c r="C69" s="311" t="n"/>
      <c r="D69" s="311" t="n"/>
      <c r="E69" s="311" t="n"/>
      <c r="F69" s="311" t="n"/>
      <c r="G69" s="311" t="n"/>
      <c r="H69" s="311" t="n"/>
    </row>
    <row r="70">
      <c r="B70" s="311" t="n"/>
      <c r="C70" s="311" t="n"/>
      <c r="D70" s="311" t="n"/>
      <c r="E70" s="311" t="n"/>
      <c r="F70" s="311" t="n"/>
      <c r="G70" s="311" t="n"/>
      <c r="H70" s="311" t="n"/>
    </row>
    <row r="71">
      <c r="B71" s="311" t="n"/>
      <c r="C71" s="311" t="n"/>
      <c r="D71" s="311" t="n"/>
      <c r="E71" s="311" t="n"/>
      <c r="F71" s="311" t="n"/>
      <c r="G71" s="311" t="n"/>
      <c r="H71" s="311" t="n"/>
    </row>
    <row r="72">
      <c r="B72" s="311" t="n"/>
      <c r="C72" s="311" t="n"/>
      <c r="D72" s="311" t="n"/>
      <c r="E72" s="311" t="n"/>
      <c r="F72" s="311" t="n"/>
      <c r="G72" s="311" t="n"/>
      <c r="H72" s="311" t="n"/>
    </row>
    <row r="73">
      <c r="B73" s="311" t="n"/>
      <c r="C73" s="311" t="n"/>
      <c r="D73" s="311" t="n"/>
      <c r="E73" s="311" t="n"/>
      <c r="F73" s="311" t="n"/>
      <c r="G73" s="311" t="n"/>
      <c r="H73" s="311" t="n"/>
    </row>
    <row r="74">
      <c r="B74" s="311" t="n"/>
      <c r="C74" s="311" t="n"/>
      <c r="D74" s="311" t="n"/>
      <c r="E74" s="311" t="n"/>
      <c r="F74" s="311" t="n"/>
      <c r="G74" s="311" t="n"/>
      <c r="H74" s="311" t="n"/>
    </row>
    <row r="75">
      <c r="B75" s="311" t="n"/>
      <c r="C75" s="311" t="n"/>
      <c r="D75" s="311" t="n"/>
      <c r="E75" s="311" t="n"/>
      <c r="F75" s="311" t="n"/>
      <c r="G75" s="311" t="n"/>
      <c r="H75" s="311" t="n"/>
    </row>
    <row r="76">
      <c r="B76" s="311" t="n"/>
      <c r="C76" s="311" t="n"/>
      <c r="D76" s="311" t="n"/>
      <c r="E76" s="311" t="n"/>
      <c r="F76" s="311" t="n"/>
      <c r="G76" s="311" t="n"/>
      <c r="H76" s="311" t="n"/>
    </row>
    <row r="77">
      <c r="B77" s="311" t="n"/>
      <c r="C77" s="311" t="n"/>
      <c r="D77" s="311" t="n"/>
      <c r="E77" s="311" t="n"/>
      <c r="F77" s="311" t="n"/>
      <c r="G77" s="311" t="n"/>
      <c r="H77" s="311" t="n"/>
    </row>
    <row r="78">
      <c r="B78" s="311" t="n"/>
      <c r="C78" s="311" t="n"/>
      <c r="D78" s="311" t="n"/>
      <c r="E78" s="311" t="n"/>
      <c r="F78" s="311" t="n"/>
      <c r="G78" s="311" t="n"/>
      <c r="H78" s="311" t="n"/>
    </row>
    <row r="79">
      <c r="B79" s="311" t="n"/>
      <c r="C79" s="311" t="n"/>
      <c r="D79" s="311" t="n"/>
      <c r="E79" s="311" t="n"/>
      <c r="F79" s="311" t="n"/>
      <c r="G79" s="311" t="n"/>
      <c r="H79" s="311" t="n"/>
    </row>
    <row r="80">
      <c r="B80" s="311" t="n"/>
      <c r="C80" s="311" t="n"/>
      <c r="D80" s="311" t="n"/>
      <c r="E80" s="311" t="n"/>
      <c r="F80" s="311" t="n"/>
      <c r="G80" s="311" t="n"/>
      <c r="H80" s="311" t="n"/>
    </row>
    <row r="81">
      <c r="B81" s="311" t="n"/>
      <c r="C81" s="311" t="n"/>
      <c r="D81" s="311" t="n"/>
      <c r="E81" s="311" t="n"/>
      <c r="F81" s="311" t="n"/>
      <c r="G81" s="311" t="n"/>
      <c r="H81" s="311" t="n"/>
    </row>
    <row r="82">
      <c r="B82" s="311" t="n"/>
      <c r="C82" s="311" t="n"/>
      <c r="D82" s="311" t="n"/>
      <c r="E82" s="311" t="n"/>
      <c r="F82" s="311" t="n"/>
      <c r="G82" s="311" t="n"/>
      <c r="H82" s="311" t="n"/>
    </row>
    <row r="83">
      <c r="B83" s="311" t="n"/>
      <c r="C83" s="311" t="n"/>
      <c r="D83" s="311" t="n"/>
      <c r="E83" s="311" t="n"/>
      <c r="F83" s="311" t="n"/>
      <c r="G83" s="311" t="n"/>
      <c r="H83" s="311" t="n"/>
    </row>
    <row r="84">
      <c r="B84" s="311" t="n"/>
      <c r="C84" s="311" t="n"/>
      <c r="D84" s="311" t="n"/>
      <c r="E84" s="311" t="n"/>
      <c r="F84" s="311" t="n"/>
      <c r="G84" s="311" t="n"/>
      <c r="H84" s="311" t="n"/>
    </row>
    <row r="85">
      <c r="B85" s="311" t="n"/>
      <c r="C85" s="311" t="n"/>
      <c r="D85" s="311" t="n"/>
      <c r="E85" s="311" t="n"/>
      <c r="F85" s="311" t="n"/>
      <c r="G85" s="311" t="n"/>
      <c r="H85" s="311" t="n"/>
    </row>
    <row r="86">
      <c r="B86" s="311" t="n"/>
      <c r="C86" s="311" t="n"/>
      <c r="D86" s="311" t="n"/>
      <c r="E86" s="311" t="n"/>
      <c r="F86" s="311" t="n"/>
      <c r="G86" s="311" t="n"/>
      <c r="H86" s="311" t="n"/>
    </row>
    <row r="87">
      <c r="B87" s="311" t="n"/>
      <c r="C87" s="311" t="n"/>
      <c r="D87" s="311" t="n"/>
      <c r="E87" s="311" t="n"/>
      <c r="F87" s="311" t="n"/>
      <c r="G87" s="311" t="n"/>
      <c r="H87" s="311" t="n"/>
    </row>
    <row r="88">
      <c r="B88" s="311" t="n"/>
      <c r="C88" s="311" t="n"/>
      <c r="D88" s="311" t="n"/>
      <c r="E88" s="311" t="n"/>
      <c r="F88" s="311" t="n"/>
      <c r="G88" s="311" t="n"/>
      <c r="H88" s="311" t="n"/>
    </row>
    <row r="89">
      <c r="B89" s="311" t="n"/>
      <c r="C89" s="311" t="n"/>
      <c r="D89" s="311" t="n"/>
      <c r="E89" s="311" t="n"/>
      <c r="F89" s="311" t="n"/>
      <c r="G89" s="311" t="n"/>
      <c r="H89" s="311" t="n"/>
    </row>
    <row r="90">
      <c r="B90" s="311" t="n"/>
      <c r="C90" s="311" t="n"/>
      <c r="D90" s="311" t="n"/>
      <c r="E90" s="311" t="n"/>
      <c r="F90" s="311" t="n"/>
      <c r="G90" s="311" t="n"/>
      <c r="H90" s="311" t="n"/>
    </row>
    <row r="91">
      <c r="B91" s="311" t="n"/>
      <c r="C91" s="311" t="n"/>
      <c r="D91" s="311" t="n"/>
      <c r="E91" s="311" t="n"/>
      <c r="F91" s="311" t="n"/>
      <c r="G91" s="311" t="n"/>
      <c r="H91" s="311" t="n"/>
    </row>
    <row r="92">
      <c r="B92" s="311" t="n"/>
      <c r="C92" s="311" t="n"/>
      <c r="D92" s="311" t="n"/>
      <c r="E92" s="311" t="n"/>
      <c r="F92" s="311" t="n"/>
      <c r="G92" s="311" t="n"/>
      <c r="H92" s="311" t="n"/>
    </row>
    <row r="93">
      <c r="B93" s="311" t="n"/>
      <c r="C93" s="311" t="n"/>
      <c r="D93" s="311" t="n"/>
      <c r="E93" s="311" t="n"/>
      <c r="F93" s="311" t="n"/>
      <c r="G93" s="311" t="n"/>
      <c r="H93" s="311" t="n"/>
    </row>
    <row r="94">
      <c r="B94" s="311" t="n"/>
      <c r="C94" s="311" t="n"/>
      <c r="D94" s="311" t="n"/>
      <c r="E94" s="311" t="n"/>
      <c r="F94" s="311" t="n"/>
      <c r="G94" s="311" t="n"/>
      <c r="H94" s="311" t="n"/>
    </row>
    <row r="95">
      <c r="B95" s="311" t="n"/>
      <c r="C95" s="311" t="n"/>
      <c r="D95" s="311" t="n"/>
      <c r="E95" s="311" t="n"/>
      <c r="F95" s="311" t="n"/>
      <c r="G95" s="311" t="n"/>
      <c r="H95" s="311" t="n"/>
    </row>
    <row r="96">
      <c r="B96" s="311" t="n"/>
      <c r="C96" s="311" t="n"/>
      <c r="D96" s="311" t="n"/>
      <c r="E96" s="311" t="n"/>
      <c r="F96" s="311" t="n"/>
      <c r="G96" s="311" t="n"/>
      <c r="H96" s="311" t="n"/>
    </row>
    <row r="97">
      <c r="B97" s="311" t="n"/>
      <c r="C97" s="311" t="n"/>
      <c r="D97" s="311" t="n"/>
      <c r="E97" s="311" t="n"/>
      <c r="F97" s="311" t="n"/>
      <c r="G97" s="311" t="n"/>
      <c r="H97" s="311" t="n"/>
    </row>
    <row r="98">
      <c r="B98" s="311" t="n"/>
      <c r="C98" s="311" t="n"/>
      <c r="D98" s="311" t="n"/>
      <c r="E98" s="311" t="n"/>
      <c r="F98" s="311" t="n"/>
      <c r="G98" s="311" t="n"/>
      <c r="H98" s="311" t="n"/>
    </row>
    <row r="99">
      <c r="B99" s="311" t="n"/>
      <c r="C99" s="311" t="n"/>
      <c r="D99" s="311" t="n"/>
      <c r="E99" s="311" t="n"/>
      <c r="F99" s="311" t="n"/>
      <c r="G99" s="311" t="n"/>
      <c r="H99" s="311" t="n"/>
    </row>
    <row r="100">
      <c r="B100" s="311" t="n"/>
      <c r="C100" s="311" t="n"/>
      <c r="D100" s="311" t="n"/>
      <c r="E100" s="311" t="n"/>
      <c r="F100" s="311" t="n"/>
      <c r="G100" s="311" t="n"/>
      <c r="H100" s="311" t="n"/>
    </row>
    <row r="101">
      <c r="B101" s="311" t="n"/>
      <c r="C101" s="311" t="n"/>
      <c r="D101" s="311" t="n"/>
      <c r="E101" s="311" t="n"/>
      <c r="F101" s="311" t="n"/>
      <c r="G101" s="311" t="n"/>
      <c r="H101" s="311" t="n"/>
    </row>
    <row r="102">
      <c r="B102" s="311" t="n"/>
      <c r="C102" s="311" t="n"/>
      <c r="D102" s="311" t="n"/>
      <c r="E102" s="311" t="n"/>
      <c r="F102" s="311" t="n"/>
      <c r="G102" s="311" t="n"/>
      <c r="H102" s="311" t="n"/>
    </row>
    <row r="103">
      <c r="B103" s="311" t="n"/>
      <c r="C103" s="311" t="n"/>
      <c r="D103" s="311" t="n"/>
      <c r="E103" s="311" t="n"/>
      <c r="F103" s="311" t="n"/>
      <c r="G103" s="311" t="n"/>
      <c r="H103" s="311" t="n"/>
    </row>
    <row r="104">
      <c r="B104" s="311" t="n"/>
      <c r="C104" s="311" t="n"/>
      <c r="D104" s="311" t="n"/>
      <c r="E104" s="311" t="n"/>
      <c r="F104" s="311" t="n"/>
      <c r="G104" s="311" t="n"/>
      <c r="H104" s="311" t="n"/>
    </row>
    <row r="105">
      <c r="B105" s="311" t="n"/>
      <c r="C105" s="311" t="n"/>
      <c r="D105" s="311" t="n"/>
      <c r="E105" s="311" t="n"/>
      <c r="F105" s="311" t="n"/>
      <c r="G105" s="311" t="n"/>
      <c r="H105" s="311" t="n"/>
    </row>
    <row r="106">
      <c r="B106" s="311" t="n"/>
      <c r="C106" s="311" t="n"/>
      <c r="D106" s="311" t="n"/>
      <c r="E106" s="311" t="n"/>
      <c r="F106" s="311" t="n"/>
      <c r="G106" s="311" t="n"/>
      <c r="H106" s="311" t="n"/>
    </row>
    <row r="107">
      <c r="B107" s="311" t="n"/>
      <c r="C107" s="311" t="n"/>
      <c r="D107" s="311" t="n"/>
      <c r="E107" s="311" t="n"/>
      <c r="F107" s="311" t="n"/>
      <c r="G107" s="311" t="n"/>
      <c r="H107" s="311" t="n"/>
    </row>
    <row r="108">
      <c r="B108" s="311" t="n"/>
      <c r="C108" s="311" t="n"/>
      <c r="D108" s="311" t="n"/>
      <c r="E108" s="311" t="n"/>
      <c r="F108" s="311" t="n"/>
      <c r="G108" s="311" t="n"/>
      <c r="H108" s="311" t="n"/>
    </row>
    <row r="109">
      <c r="B109" s="311" t="n"/>
      <c r="C109" s="311" t="n"/>
      <c r="D109" s="311" t="n"/>
      <c r="E109" s="311" t="n"/>
      <c r="F109" s="311" t="n"/>
      <c r="G109" s="311" t="n"/>
      <c r="H109" s="311" t="n"/>
    </row>
    <row r="110">
      <c r="B110" s="311" t="n"/>
      <c r="C110" s="311" t="n"/>
      <c r="D110" s="311" t="n"/>
      <c r="E110" s="311" t="n"/>
      <c r="F110" s="311" t="n"/>
      <c r="G110" s="311" t="n"/>
      <c r="H110" s="311" t="n"/>
    </row>
    <row r="111">
      <c r="B111" s="311" t="n"/>
      <c r="C111" s="311" t="n"/>
      <c r="D111" s="311" t="n"/>
      <c r="E111" s="311" t="n"/>
      <c r="F111" s="311" t="n"/>
      <c r="G111" s="311" t="n"/>
      <c r="H111" s="311" t="n"/>
    </row>
    <row r="112">
      <c r="B112" s="311" t="n"/>
      <c r="C112" s="311" t="n"/>
      <c r="D112" s="311" t="n"/>
      <c r="E112" s="311" t="n"/>
      <c r="F112" s="311" t="n"/>
      <c r="G112" s="311" t="n"/>
      <c r="H112" s="311" t="n"/>
    </row>
    <row r="113">
      <c r="B113" s="311" t="n"/>
      <c r="C113" s="311" t="n"/>
      <c r="D113" s="311" t="n"/>
      <c r="E113" s="311" t="n"/>
      <c r="F113" s="311" t="n"/>
      <c r="G113" s="311" t="n"/>
      <c r="H113" s="311" t="n"/>
    </row>
    <row r="114">
      <c r="B114" s="311" t="n"/>
      <c r="C114" s="311" t="n"/>
      <c r="D114" s="311" t="n"/>
      <c r="E114" s="311" t="n"/>
      <c r="F114" s="311" t="n"/>
      <c r="G114" s="311" t="n"/>
      <c r="H114" s="311" t="n"/>
    </row>
    <row r="115">
      <c r="B115" s="311" t="n"/>
      <c r="C115" s="311" t="n"/>
      <c r="D115" s="311" t="n"/>
      <c r="E115" s="311" t="n"/>
      <c r="F115" s="311" t="n"/>
      <c r="G115" s="311" t="n"/>
      <c r="H115" s="311" t="n"/>
    </row>
    <row r="116">
      <c r="B116" s="311" t="n"/>
      <c r="C116" s="311" t="n"/>
      <c r="D116" s="311" t="n"/>
      <c r="E116" s="311" t="n"/>
      <c r="F116" s="311" t="n"/>
      <c r="G116" s="311" t="n"/>
      <c r="H116" s="311" t="n"/>
    </row>
    <row r="117">
      <c r="B117" s="311" t="n"/>
      <c r="C117" s="311" t="n"/>
      <c r="D117" s="311" t="n"/>
      <c r="E117" s="311" t="n"/>
      <c r="F117" s="311" t="n"/>
      <c r="G117" s="311" t="n"/>
      <c r="H117" s="311" t="n"/>
    </row>
    <row r="118">
      <c r="B118" s="311" t="n"/>
      <c r="C118" s="311" t="n"/>
      <c r="D118" s="311" t="n"/>
      <c r="E118" s="311" t="n"/>
      <c r="F118" s="311" t="n"/>
      <c r="G118" s="311" t="n"/>
      <c r="H118" s="311" t="n"/>
    </row>
    <row r="119">
      <c r="B119" s="311" t="n"/>
      <c r="C119" s="311" t="n"/>
      <c r="D119" s="311" t="n"/>
      <c r="E119" s="311" t="n"/>
      <c r="F119" s="311" t="n"/>
      <c r="G119" s="311" t="n"/>
      <c r="H119" s="311" t="n"/>
    </row>
    <row r="120">
      <c r="B120" s="311" t="n"/>
      <c r="C120" s="311" t="n"/>
      <c r="D120" s="311" t="n"/>
      <c r="E120" s="311" t="n"/>
      <c r="F120" s="311" t="n"/>
      <c r="G120" s="311" t="n"/>
      <c r="H120" s="311" t="n"/>
    </row>
    <row r="121">
      <c r="B121" s="311" t="n"/>
      <c r="C121" s="311" t="n"/>
      <c r="D121" s="311" t="n"/>
      <c r="E121" s="311" t="n"/>
      <c r="F121" s="311" t="n"/>
      <c r="G121" s="311" t="n"/>
      <c r="H121" s="311" t="n"/>
    </row>
    <row r="122">
      <c r="B122" s="311" t="n"/>
      <c r="C122" s="311" t="n"/>
      <c r="D122" s="311" t="n"/>
      <c r="E122" s="311" t="n"/>
      <c r="F122" s="311" t="n"/>
      <c r="G122" s="311" t="n"/>
      <c r="H122" s="311" t="n"/>
    </row>
    <row r="123">
      <c r="B123" s="311" t="n"/>
      <c r="C123" s="311" t="n"/>
      <c r="D123" s="311" t="n"/>
      <c r="E123" s="311" t="n"/>
      <c r="F123" s="311" t="n"/>
      <c r="G123" s="311" t="n"/>
      <c r="H123" s="311" t="n"/>
    </row>
    <row r="124">
      <c r="B124" s="311" t="n"/>
      <c r="C124" s="311" t="n"/>
      <c r="D124" s="311" t="n"/>
      <c r="E124" s="311" t="n"/>
      <c r="F124" s="311" t="n"/>
      <c r="G124" s="311" t="n"/>
      <c r="H124" s="311" t="n"/>
    </row>
    <row r="125">
      <c r="B125" s="311" t="n"/>
      <c r="C125" s="311" t="n"/>
      <c r="D125" s="311" t="n"/>
      <c r="E125" s="311" t="n"/>
      <c r="F125" s="311" t="n"/>
      <c r="G125" s="311" t="n"/>
      <c r="H125" s="311" t="n"/>
    </row>
    <row r="126">
      <c r="B126" s="311" t="n"/>
      <c r="C126" s="311" t="n"/>
      <c r="D126" s="311" t="n"/>
      <c r="E126" s="311" t="n"/>
      <c r="F126" s="311" t="n"/>
      <c r="G126" s="311" t="n"/>
      <c r="H126" s="311" t="n"/>
    </row>
    <row r="127">
      <c r="B127" s="311" t="n"/>
      <c r="C127" s="311" t="n"/>
      <c r="D127" s="311" t="n"/>
      <c r="E127" s="311" t="n"/>
      <c r="F127" s="311" t="n"/>
      <c r="G127" s="311" t="n"/>
      <c r="H127" s="311" t="n"/>
    </row>
    <row r="128">
      <c r="B128" s="311" t="n"/>
      <c r="C128" s="311" t="n"/>
      <c r="D128" s="311" t="n"/>
      <c r="E128" s="311" t="n"/>
      <c r="F128" s="311" t="n"/>
      <c r="G128" s="311" t="n"/>
      <c r="H128" s="311" t="n"/>
    </row>
    <row r="129">
      <c r="B129" s="311" t="n"/>
      <c r="C129" s="311" t="n"/>
      <c r="D129" s="311" t="n"/>
      <c r="E129" s="311" t="n"/>
      <c r="F129" s="311" t="n"/>
      <c r="G129" s="311" t="n"/>
      <c r="H129" s="311" t="n"/>
    </row>
    <row r="130">
      <c r="B130" s="311" t="n"/>
      <c r="C130" s="311" t="n"/>
      <c r="D130" s="311" t="n"/>
      <c r="E130" s="311" t="n"/>
      <c r="F130" s="311" t="n"/>
      <c r="G130" s="311" t="n"/>
      <c r="H130" s="311" t="n"/>
    </row>
    <row r="131">
      <c r="B131" s="311" t="n"/>
      <c r="C131" s="311" t="n"/>
      <c r="D131" s="311" t="n"/>
      <c r="E131" s="311" t="n"/>
      <c r="F131" s="311" t="n"/>
      <c r="G131" s="311" t="n"/>
      <c r="H131" s="311" t="n"/>
    </row>
  </sheetData>
  <mergeCells count="1">
    <mergeCell ref="B2:F2"/>
  </mergeCells>
  <dataValidations count="1">
    <dataValidation sqref="F3" showDropDown="0" showInputMessage="1" showErrorMessage="1" allowBlank="0" type="list">
      <formula1>"ST1 - TMA40522 (DEVT678),ST2 - TMA40523 (DEVT679),ST3 - TMA40524 (DEVT680),ST4 - TMA40525 (DEVT681),ST5 - TMA40526 (DEVT682),ST6 - TMA40532 (DEVT683),ST7 - TMA40533 (DEVT684),Cold Chamber - TMA56109 (DEVT709)"</formula1>
    </dataValidation>
  </dataValidations>
  <printOptions horizontalCentered="1" verticalCentered="1"/>
  <pageMargins left="0.1181102362204725" right="0.1181102362204725" top="0.3149606299212598" bottom="0.5118110236220472" header="0" footer="0.3149606299212598"/>
  <pageSetup orientation="landscape" paperSize="11"/>
  <headerFooter>
    <oddHeader>&amp;L&amp;G&amp;R&amp;8 Perkins Engines Company Limited_x000a_Tixall Road_x000a_Stafford_x000a_ST16 3UB_x000a_United Kingdom_x000a__x000a_Tel: +44 (0)1785 215 700_x000a_Fax: +44 (0)1785 215 110</oddHeader>
    <oddFooter>&amp;C&amp;8 Test Bed Calibration Results page &amp;P of &amp;N&amp;R&amp;"Calibri"&amp;11&amp;K000000&amp;"Calibri,Regular"&amp;K000000&amp;F&amp;8&amp;K000000_x000d_&amp;1#&amp;"Calibri"&amp;10 &amp;K737373&amp;D&amp;LCaterpillar: Confidential Green</oddFooter>
    <evenHeader/>
    <evenFooter/>
    <firstHeader/>
    <firstFooter>&amp;L&amp;"Calibri"&amp;10 &amp;K737373#Caterpillar: Confidential Green</firstFooter>
  </headerFooter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8">
    <tabColor rgb="FFE0E0E0"/>
    <outlinePr summaryBelow="1" summaryRight="1"/>
    <pageSetUpPr fitToPage="1"/>
  </sheetPr>
  <dimension ref="A1:U110"/>
  <sheetViews>
    <sheetView topLeftCell="A58" zoomScale="80" zoomScaleNormal="80" workbookViewId="0">
      <selection activeCell="U90" sqref="U90"/>
    </sheetView>
  </sheetViews>
  <sheetFormatPr baseColWidth="8" defaultColWidth="9.1796875" defaultRowHeight="12.5"/>
  <cols>
    <col width="3.7265625" customWidth="1" style="311" min="1" max="1"/>
    <col width="11.7265625" bestFit="1" customWidth="1" style="311" min="2" max="2"/>
    <col width="20.7265625" customWidth="1" style="179" min="3" max="3"/>
    <col width="9.453125" bestFit="1" customWidth="1" style="311" min="4" max="4"/>
    <col width="21.81640625" customWidth="1" style="311" min="5" max="5"/>
    <col width="8.7265625" customWidth="1" style="311" min="6" max="9"/>
    <col width="8.26953125" bestFit="1" customWidth="1" style="311" min="10" max="10"/>
    <col width="7.81640625" customWidth="1" style="311" min="11" max="11"/>
    <col width="8.7265625" customWidth="1" style="311" min="12" max="17"/>
    <col width="9.7265625" customWidth="1" style="311" min="18" max="18"/>
    <col width="15" bestFit="1" customWidth="1" style="311" min="19" max="19"/>
    <col width="18.453125" bestFit="1" customWidth="1" style="311" min="20" max="20"/>
    <col width="9.1796875" customWidth="1" style="311" min="21" max="16384"/>
  </cols>
  <sheetData>
    <row r="1" ht="13" customFormat="1" customHeight="1" s="297" thickTop="1">
      <c r="A1" s="31" t="n"/>
      <c r="B1" s="32" t="n"/>
      <c r="C1" s="32" t="n"/>
      <c r="D1" s="32" t="n"/>
      <c r="E1" s="32" t="n"/>
      <c r="F1" s="32" t="n"/>
      <c r="G1" s="32" t="n"/>
      <c r="H1" s="32" t="n"/>
      <c r="I1" s="32" t="n"/>
      <c r="J1" s="45" t="n"/>
      <c r="K1" s="45" t="n"/>
      <c r="L1" s="45" t="n"/>
      <c r="M1" s="45" t="n"/>
      <c r="N1" s="45" t="n"/>
      <c r="O1" s="45" t="n"/>
      <c r="P1" s="45" t="n"/>
      <c r="Q1" s="45" t="n"/>
      <c r="R1" s="45" t="n"/>
      <c r="S1" s="45" t="n"/>
      <c r="T1" s="45" t="n"/>
      <c r="U1" s="75" t="n"/>
    </row>
    <row r="2" ht="25" customFormat="1" customHeight="1" s="5">
      <c r="A2" s="375" t="inlineStr">
        <is>
          <t>Test Bed Pressure Measurement Calibration</t>
        </is>
      </c>
      <c r="B2" s="366" t="n"/>
      <c r="C2" s="366" t="n"/>
      <c r="D2" s="366" t="n"/>
      <c r="E2" s="366" t="n"/>
      <c r="F2" s="366" t="n"/>
      <c r="G2" s="366" t="n"/>
      <c r="H2" s="366" t="n"/>
      <c r="I2" s="366" t="n"/>
      <c r="J2" s="366" t="n"/>
      <c r="K2" s="366" t="n"/>
      <c r="L2" s="366" t="n"/>
      <c r="M2" s="366" t="n"/>
      <c r="N2" s="366" t="n"/>
      <c r="O2" s="366" t="n"/>
      <c r="P2" s="366" t="n"/>
      <c r="Q2" s="366" t="n"/>
      <c r="R2" s="366" t="n"/>
      <c r="S2" s="366" t="n"/>
      <c r="T2" s="366" t="n"/>
      <c r="U2" s="376" t="n"/>
    </row>
    <row r="3" ht="15" customFormat="1" customHeight="1" s="5" thickBot="1">
      <c r="A3" s="33" t="n"/>
      <c r="B3" s="10" t="n"/>
      <c r="C3" s="11" t="n"/>
      <c r="D3" s="11" t="n"/>
      <c r="E3" s="11" t="n"/>
      <c r="F3" s="11" t="n"/>
      <c r="G3" s="11" t="n"/>
      <c r="H3" s="10" t="n"/>
      <c r="I3" s="76" t="n"/>
      <c r="J3" s="10" t="n"/>
      <c r="K3" s="10" t="n"/>
      <c r="L3" s="10" t="n"/>
      <c r="M3" s="10" t="n"/>
      <c r="N3" s="10" t="n"/>
      <c r="O3" s="10" t="n"/>
      <c r="P3" s="10" t="n"/>
      <c r="Q3" s="10" t="n"/>
      <c r="R3" s="10" t="n"/>
      <c r="S3" s="10" t="n"/>
      <c r="T3" s="10" t="n"/>
      <c r="U3" s="34" t="n"/>
    </row>
    <row r="4" ht="15" customFormat="1" customHeight="1" s="297" thickBot="1">
      <c r="A4" s="33" t="n"/>
      <c r="B4" s="9" t="inlineStr">
        <is>
          <t xml:space="preserve">Job No. </t>
        </is>
      </c>
      <c r="C4" s="153">
        <f>Title!C4</f>
        <v/>
      </c>
      <c r="D4" s="23" t="n"/>
      <c r="E4" s="145" t="n"/>
      <c r="F4" s="10" t="n"/>
      <c r="G4" s="9" t="inlineStr">
        <is>
          <t xml:space="preserve">Calibrated By. </t>
        </is>
      </c>
      <c r="H4" s="377">
        <f>Title!C3</f>
        <v/>
      </c>
      <c r="I4" s="378" t="n"/>
      <c r="J4" s="10" t="n"/>
      <c r="K4" s="10" t="n"/>
      <c r="L4" s="9" t="inlineStr">
        <is>
          <t xml:space="preserve">Calibration Date. </t>
        </is>
      </c>
      <c r="M4" s="379">
        <f>Title!C9</f>
        <v/>
      </c>
      <c r="N4" s="380" t="n"/>
      <c r="O4" s="378" t="n"/>
      <c r="P4" s="12" t="n"/>
      <c r="Q4" s="9" t="n"/>
      <c r="R4" s="9" t="inlineStr">
        <is>
          <t xml:space="preserve">Bed No. </t>
        </is>
      </c>
      <c r="S4" s="381">
        <f>Title!F3</f>
        <v/>
      </c>
      <c r="T4" s="378" t="n"/>
      <c r="U4" s="77" t="n"/>
    </row>
    <row r="5" ht="15" customFormat="1" customHeight="1" s="297">
      <c r="A5" s="33" t="n"/>
      <c r="B5" s="10" t="n"/>
      <c r="C5" s="11" t="n"/>
      <c r="D5" s="11" t="n"/>
      <c r="E5" s="11" t="n"/>
      <c r="F5" s="9" t="n"/>
      <c r="G5" s="11" t="n"/>
      <c r="H5" s="9" t="n"/>
      <c r="I5" s="9" t="n"/>
      <c r="J5" s="12" t="n"/>
      <c r="K5" s="12" t="n"/>
      <c r="L5" s="12" t="n"/>
      <c r="M5" s="12" t="n"/>
      <c r="N5" s="10" t="n"/>
      <c r="O5" s="12" t="n"/>
      <c r="P5" s="12" t="n"/>
      <c r="Q5" s="12" t="n"/>
      <c r="R5" s="12" t="n"/>
      <c r="S5" s="12" t="n"/>
      <c r="T5" s="12" t="n"/>
      <c r="U5" s="35" t="n"/>
    </row>
    <row r="6" ht="15" customFormat="1" customHeight="1" s="20">
      <c r="A6" s="36" t="inlineStr">
        <is>
          <t>Acceptable Deviation: 0.2% Full Scale.  Adjust if error &gt;80% accepted tolerance.</t>
        </is>
      </c>
      <c r="B6" s="11" t="n"/>
      <c r="C6" s="11" t="n"/>
      <c r="D6" s="11" t="n"/>
      <c r="E6" s="11" t="n"/>
      <c r="F6" s="11" t="n"/>
      <c r="G6" s="78" t="n"/>
      <c r="H6" s="78" t="n"/>
      <c r="I6" s="78" t="n"/>
      <c r="J6" s="11" t="n"/>
      <c r="K6" s="11" t="n"/>
      <c r="L6" s="11" t="n"/>
      <c r="M6" s="11" t="n"/>
      <c r="N6" s="11" t="n"/>
      <c r="O6" s="11" t="n"/>
      <c r="P6" s="11" t="n"/>
      <c r="Q6" s="11" t="n"/>
      <c r="R6" s="11" t="n"/>
      <c r="S6" s="11" t="n"/>
      <c r="T6" s="11" t="n"/>
      <c r="U6" s="37" t="n"/>
    </row>
    <row r="7" ht="15" customFormat="1" customHeight="1" s="20" thickBot="1">
      <c r="A7" s="33" t="n"/>
      <c r="B7" s="76" t="n"/>
      <c r="C7" s="76" t="n"/>
      <c r="D7" s="76" t="n"/>
      <c r="E7" s="76" t="n"/>
      <c r="F7" s="76" t="n"/>
      <c r="G7" s="76" t="n"/>
      <c r="H7" s="76" t="n"/>
      <c r="I7" s="76" t="n"/>
      <c r="J7" s="76" t="n"/>
      <c r="K7" s="76" t="n"/>
      <c r="L7" s="12" t="n"/>
      <c r="M7" s="12" t="n"/>
      <c r="N7" s="12" t="n"/>
      <c r="O7" s="12" t="n"/>
      <c r="P7" s="12" t="n"/>
      <c r="Q7" s="12" t="n"/>
      <c r="R7" s="12" t="n"/>
      <c r="S7" s="12" t="n"/>
      <c r="T7" s="12" t="n"/>
      <c r="U7" s="35" t="n"/>
    </row>
    <row r="8" ht="15" customFormat="1" customHeight="1" s="297" thickBot="1">
      <c r="A8" s="33" t="n"/>
      <c r="B8" s="24" t="inlineStr">
        <is>
          <t>Channel No.</t>
        </is>
      </c>
      <c r="C8" s="24" t="inlineStr">
        <is>
          <t>Channel Name</t>
        </is>
      </c>
      <c r="D8" s="79" t="inlineStr">
        <is>
          <t>Range Min</t>
        </is>
      </c>
      <c r="E8" s="79" t="inlineStr">
        <is>
          <t>Range Max</t>
        </is>
      </c>
      <c r="F8" s="382" t="inlineStr">
        <is>
          <t>Pre-Calibration Set Points</t>
        </is>
      </c>
      <c r="G8" s="383" t="n"/>
      <c r="H8" s="383" t="n"/>
      <c r="I8" s="383" t="n"/>
      <c r="J8" s="384" t="n"/>
      <c r="K8" s="24" t="inlineStr">
        <is>
          <t>Result</t>
        </is>
      </c>
      <c r="L8" s="80" t="inlineStr">
        <is>
          <t>PC Used</t>
        </is>
      </c>
      <c r="M8" s="382" t="inlineStr">
        <is>
          <t>Post-Calibration Set Points</t>
        </is>
      </c>
      <c r="N8" s="383" t="n"/>
      <c r="O8" s="383" t="n"/>
      <c r="P8" s="383" t="n"/>
      <c r="Q8" s="384" t="n"/>
      <c r="R8" s="24" t="inlineStr">
        <is>
          <t>Units</t>
        </is>
      </c>
      <c r="S8" s="81" t="inlineStr">
        <is>
          <t>Tolerance</t>
        </is>
      </c>
      <c r="T8" s="24" t="inlineStr">
        <is>
          <t>Transducer Serial No.</t>
        </is>
      </c>
      <c r="U8" s="35" t="n"/>
    </row>
    <row r="9" ht="15" customFormat="1" customHeight="1" s="297" thickBot="1">
      <c r="A9" s="33" t="n"/>
      <c r="B9" s="247" t="n">
        <v>1</v>
      </c>
      <c r="C9" s="247" t="inlineStr">
        <is>
          <t xml:space="preserve">PTX 1 </t>
        </is>
      </c>
      <c r="D9" s="247" t="n">
        <v>-20</v>
      </c>
      <c r="E9" s="385" t="n">
        <v>0</v>
      </c>
      <c r="F9" s="126">
        <f>IF(AND(D9&lt;0,E9=0)=TRUE,0.98*D9,IF(AND(D9=0,E9&gt;0)=TRUE,0,IF(D9=-E9,0.98*D9,IF(AND(D9=-20,E9=100)=TRUE,0.98*D9,IF(AND(D9=-35,E9=300)=TRUE,0.98*D9,IF(AND(D9=-100,E9=160)=TRUE,80,IF(AND(D9=-100,E9=900)=TRUE,80,"x")))))))</f>
        <v/>
      </c>
      <c r="G9" s="82">
        <f>IF(AND(D9&lt;0,E9=0)=TRUE,0.75*D9,IF(AND(D9=0,E9&gt;0)=TRUE,0.25*E9,IF(D9=-E9,0.5*D9,IF(AND(D9=-20,E9=100)=TRUE,0,IF(AND(D9=-35,E9=300)=TRUE,0,IF(AND(D9=-100,E9=160)=TRUE,0,IF(AND(D9=-100,E9=900)=TRUE,0,"x")))))))</f>
        <v/>
      </c>
      <c r="H9" s="82">
        <f>IF(AND(D9&lt;0,E9=0)=TRUE,0.5*D9,IF(AND(D9=0,E9&gt;0)=TRUE,0.5*E9,IF(D9=-E9,0,IF(AND(D9=-20,E9=100)=TRUE,0.33*E9,IF(AND(D9=-35,E9=300)=TRUE,0.33*E9,IF(AND(D9=-100,E9=160)=TRUE,0.33*E9,IF(AND(D9=-100,E9=900)=TRUE,0.33*E9,"x")))))))</f>
        <v/>
      </c>
      <c r="I9" s="82">
        <f>IF(AND(D9&lt;0,E9=0)=TRUE,0.25*D9,IF(AND(D9=0,E9&gt;0)=TRUE,0.75*E9,IF(D9=-E9,0.5*E9,IF(AND(D9=-20,E9=100)=TRUE,0.66*E9,IF(AND(D9=-35,E9=300)=TRUE,0.66*E9,IF(AND(D9=-100,E9=160)=TRUE,0.66*E9,IF(AND(D9=-100,E9=900)=TRUE,0.66*E9,"x")))))))</f>
        <v/>
      </c>
      <c r="J9" s="83">
        <f>IF(AND(D9&lt;0,E9=0)=TRUE,0*D9,IF(AND(D9=0,E9&gt;0)=TRUE,0.98*E9,IF(D9=-E9,0.98*E9,IF(AND(D9=-20,E9=100)=TRUE,0.98*E9,IF(AND(D9=-35,E9=300)=TRUE,0.98*E9,IF(AND(D9=-100,E9=160)=TRUE,0.98*E9,IF(AND(D9=-100,E9=900)=TRUE,0.98*E9,"x")))))))</f>
        <v/>
      </c>
      <c r="K9" s="386" t="inlineStr">
        <is>
          <t>Fail</t>
        </is>
      </c>
      <c r="L9" s="387" t="inlineStr">
        <is>
          <t>A</t>
        </is>
      </c>
      <c r="M9" s="84">
        <f>F9</f>
        <v/>
      </c>
      <c r="N9" s="85">
        <f>G9</f>
        <v/>
      </c>
      <c r="O9" s="86">
        <f>H9</f>
        <v/>
      </c>
      <c r="P9" s="85">
        <f>I9</f>
        <v/>
      </c>
      <c r="Q9" s="87">
        <f>J9</f>
        <v/>
      </c>
      <c r="R9" s="388" t="inlineStr">
        <is>
          <t>kPa</t>
        </is>
      </c>
      <c r="S9" s="389">
        <f>IF(D9&lt;E9,(E9-D9)*0.002,"x")</f>
        <v/>
      </c>
      <c r="T9" s="388" t="n">
        <v>3600033</v>
      </c>
      <c r="U9" s="35" t="n"/>
    </row>
    <row r="10" ht="15" customFormat="1" customHeight="1" s="297" thickBot="1">
      <c r="A10" s="33" t="n"/>
      <c r="B10" s="390" t="n"/>
      <c r="C10" s="390" t="n"/>
      <c r="D10" s="390" t="n"/>
      <c r="E10" s="391" t="n"/>
      <c r="F10" s="392" t="n">
        <v>-19.7</v>
      </c>
      <c r="G10" s="393" t="n">
        <v>-15.17</v>
      </c>
      <c r="H10" s="393" t="n">
        <v>-10.11</v>
      </c>
      <c r="I10" s="393" t="n">
        <v>-5.08</v>
      </c>
      <c r="J10" s="394" t="n">
        <v>0</v>
      </c>
      <c r="K10" s="390" t="n"/>
      <c r="L10" s="390" t="n"/>
      <c r="M10" s="392" t="n">
        <v>-19.6</v>
      </c>
      <c r="N10" s="393" t="n">
        <v>-14.99</v>
      </c>
      <c r="O10" s="393" t="n">
        <v>-9.99</v>
      </c>
      <c r="P10" s="393" t="n">
        <v>-5</v>
      </c>
      <c r="Q10" s="394" t="n">
        <v>0</v>
      </c>
      <c r="R10" s="390" t="n"/>
      <c r="S10" s="395" t="n"/>
      <c r="T10" s="390" t="n"/>
      <c r="U10" s="35" t="n"/>
    </row>
    <row r="11" ht="15" customFormat="1" customHeight="1" s="297" thickBot="1">
      <c r="A11" s="33" t="n"/>
      <c r="B11" s="247" t="n">
        <v>2</v>
      </c>
      <c r="C11" s="247" t="inlineStr">
        <is>
          <t>PTX 2</t>
        </is>
      </c>
      <c r="D11" s="247" t="n">
        <v>-20</v>
      </c>
      <c r="E11" s="385" t="n">
        <v>0</v>
      </c>
      <c r="F11" s="126">
        <f>IF(AND(D11&lt;0,E11=0)=TRUE,0.98*D11,IF(AND(D11=0,E11&gt;0)=TRUE,0,IF(D11=-E11,0.98*D11,IF(AND(D11=-20,E11=100)=TRUE,0.98*D11,IF(AND(D11=-35,E11=300)=TRUE,0.98*D11,IF(AND(D11=-100,E11=160)=TRUE,80,IF(AND(D11=-100,E11=900)=TRUE,80,"x")))))))</f>
        <v/>
      </c>
      <c r="G11" s="82">
        <f>IF(AND(D11&lt;0,E11=0)=TRUE,0.75*D11,IF(AND(D11=0,E11&gt;0)=TRUE,0.25*E11,IF(D11=-E11,0.5*D11,IF(AND(D11=-20,E11=100)=TRUE,0,IF(AND(D11=-35,E11=300)=TRUE,0,IF(AND(D11=-100,E11=160)=TRUE,0,IF(AND(D11=-100,E11=900)=TRUE,0,"x")))))))</f>
        <v/>
      </c>
      <c r="H11" s="82">
        <f>IF(AND(D11&lt;0,E11=0)=TRUE,0.5*D11,IF(AND(D11=0,E11&gt;0)=TRUE,0.5*E11,IF(D11=-E11,0,IF(AND(D11=-20,E11=100)=TRUE,0.33*E11,IF(AND(D11=-35,E11=300)=TRUE,0.33*E11,IF(AND(D11=-100,E11=160)=TRUE,0.33*E11,IF(AND(D11=-100,E11=900)=TRUE,0.33*E11,"x")))))))</f>
        <v/>
      </c>
      <c r="I11" s="82">
        <f>IF(AND(D11&lt;0,E11=0)=TRUE,0.25*D11,IF(AND(D11=0,E11&gt;0)=TRUE,0.75*E11,IF(D11=-E11,0.5*E11,IF(AND(D11=-20,E11=100)=TRUE,0.66*E11,IF(AND(D11=-35,E11=300)=TRUE,0.66*E11,IF(AND(D11=-100,E11=160)=TRUE,0.66*E11,IF(AND(D11=-100,E11=900)=TRUE,0.66*E11,"x")))))))</f>
        <v/>
      </c>
      <c r="J11" s="83">
        <f>IF(AND(D11&lt;0,E11=0)=TRUE,0*D11,IF(AND(D11=0,E11&gt;0)=TRUE,0.98*E11,IF(D11=-E11,0.98*E11,IF(AND(D11=-20,E11=100)=TRUE,0.98*E11,IF(AND(D11=-35,E11=300)=TRUE,0.98*E11,IF(AND(D11=-100,E11=160)=TRUE,0.98*E11,IF(AND(D11=-100,E11=900)=TRUE,0.98*E11,"x")))))))</f>
        <v/>
      </c>
      <c r="K11" s="386" t="inlineStr">
        <is>
          <t>Fail</t>
        </is>
      </c>
      <c r="L11" s="387" t="inlineStr">
        <is>
          <t>A</t>
        </is>
      </c>
      <c r="M11" s="84">
        <f>F11</f>
        <v/>
      </c>
      <c r="N11" s="85">
        <f>G11</f>
        <v/>
      </c>
      <c r="O11" s="86">
        <f>H11</f>
        <v/>
      </c>
      <c r="P11" s="85">
        <f>I11</f>
        <v/>
      </c>
      <c r="Q11" s="87">
        <f>J11</f>
        <v/>
      </c>
      <c r="R11" s="388" t="inlineStr">
        <is>
          <t>kPa</t>
        </is>
      </c>
      <c r="S11" s="389">
        <f>IF(D11&lt;E11,(E11-D11)*0.002,"x")</f>
        <v/>
      </c>
      <c r="T11" s="388" t="n">
        <v>3600538</v>
      </c>
      <c r="U11" s="35" t="n"/>
    </row>
    <row r="12" ht="15" customFormat="1" customHeight="1" s="297" thickBot="1">
      <c r="A12" s="33" t="n"/>
      <c r="B12" s="390" t="n"/>
      <c r="C12" s="390" t="n"/>
      <c r="D12" s="390" t="n"/>
      <c r="E12" s="391" t="n"/>
      <c r="F12" s="392" t="n">
        <v>-19.7</v>
      </c>
      <c r="G12" s="393" t="n">
        <v>-15.12</v>
      </c>
      <c r="H12" s="393" t="n">
        <v>-10.12</v>
      </c>
      <c r="I12" s="393" t="n">
        <v>-5.05</v>
      </c>
      <c r="J12" s="394" t="n">
        <v>0</v>
      </c>
      <c r="K12" s="390" t="n"/>
      <c r="L12" s="390" t="n"/>
      <c r="M12" s="392" t="n">
        <v>-19.6</v>
      </c>
      <c r="N12" s="393" t="n">
        <v>-14.99</v>
      </c>
      <c r="O12" s="393" t="n">
        <v>-10</v>
      </c>
      <c r="P12" s="393" t="n">
        <v>-4.99</v>
      </c>
      <c r="Q12" s="394" t="n">
        <v>0.02</v>
      </c>
      <c r="R12" s="390" t="n"/>
      <c r="S12" s="395" t="n"/>
      <c r="T12" s="390" t="n"/>
      <c r="U12" s="35" t="n"/>
    </row>
    <row r="13" ht="15" customFormat="1" customHeight="1" s="297" thickBot="1">
      <c r="A13" s="38" t="n"/>
      <c r="B13" s="247" t="n">
        <v>3</v>
      </c>
      <c r="C13" s="247" t="inlineStr">
        <is>
          <t>PTX 3</t>
        </is>
      </c>
      <c r="D13" s="247" t="n">
        <v>-20</v>
      </c>
      <c r="E13" s="385" t="n">
        <v>0</v>
      </c>
      <c r="F13" s="126">
        <f>IF(AND(D13&lt;0,E13=0)=TRUE,0.98*D13,IF(AND(D13=0,E13&gt;0)=TRUE,0,IF(D13=-E13,0.98*D13,IF(AND(D13=-20,E13=100)=TRUE,0.98*D13,IF(AND(D13=-35,E13=300)=TRUE,0.98*D13,IF(AND(D13=-100,E13=160)=TRUE,80,IF(AND(D13=-100,E13=900)=TRUE,80,"x")))))))</f>
        <v/>
      </c>
      <c r="G13" s="82">
        <f>IF(AND(D13&lt;0,E13=0)=TRUE,0.75*D13,IF(AND(D13=0,E13&gt;0)=TRUE,0.25*E13,IF(D13=-E13,0.5*D13,IF(AND(D13=-20,E13=100)=TRUE,0,IF(AND(D13=-35,E13=300)=TRUE,0,IF(AND(D13=-100,E13=160)=TRUE,0,IF(AND(D13=-100,E13=900)=TRUE,0,"x")))))))</f>
        <v/>
      </c>
      <c r="H13" s="82">
        <f>IF(AND(D13&lt;0,E13=0)=TRUE,0.5*D13,IF(AND(D13=0,E13&gt;0)=TRUE,0.5*E13,IF(D13=-E13,0,IF(AND(D13=-20,E13=100)=TRUE,0.33*E13,IF(AND(D13=-35,E13=300)=TRUE,0.33*E13,IF(AND(D13=-100,E13=160)=TRUE,0.33*E13,IF(AND(D13=-100,E13=900)=TRUE,0.33*E13,"x")))))))</f>
        <v/>
      </c>
      <c r="I13" s="82">
        <f>IF(AND(D13&lt;0,E13=0)=TRUE,0.25*D13,IF(AND(D13=0,E13&gt;0)=TRUE,0.75*E13,IF(D13=-E13,0.5*E13,IF(AND(D13=-20,E13=100)=TRUE,0.66*E13,IF(AND(D13=-35,E13=300)=TRUE,0.66*E13,IF(AND(D13=-100,E13=160)=TRUE,0.66*E13,IF(AND(D13=-100,E13=900)=TRUE,0.66*E13,"x")))))))</f>
        <v/>
      </c>
      <c r="J13" s="83">
        <f>IF(AND(D13&lt;0,E13=0)=TRUE,0*D13,IF(AND(D13=0,E13&gt;0)=TRUE,0.98*E13,IF(D13=-E13,0.98*E13,IF(AND(D13=-20,E13=100)=TRUE,0.98*E13,IF(AND(D13=-35,E13=300)=TRUE,0.98*E13,IF(AND(D13=-100,E13=160)=TRUE,0.98*E13,IF(AND(D13=-100,E13=900)=TRUE,0.98*E13,"x")))))))</f>
        <v/>
      </c>
      <c r="K13" s="386" t="inlineStr">
        <is>
          <t>Fail</t>
        </is>
      </c>
      <c r="L13" s="387" t="inlineStr">
        <is>
          <t>A</t>
        </is>
      </c>
      <c r="M13" s="84">
        <f>F13</f>
        <v/>
      </c>
      <c r="N13" s="85">
        <f>G13</f>
        <v/>
      </c>
      <c r="O13" s="86">
        <f>H13</f>
        <v/>
      </c>
      <c r="P13" s="85">
        <f>I13</f>
        <v/>
      </c>
      <c r="Q13" s="87">
        <f>J13</f>
        <v/>
      </c>
      <c r="R13" s="388" t="inlineStr">
        <is>
          <t>kPa</t>
        </is>
      </c>
      <c r="S13" s="389">
        <f>IF(D13&lt;E13,(E13-D13)*0.002,"x")</f>
        <v/>
      </c>
      <c r="T13" s="388" t="n">
        <v>3600018</v>
      </c>
      <c r="U13" s="35" t="n"/>
    </row>
    <row r="14" ht="15" customFormat="1" customHeight="1" s="297" thickBot="1">
      <c r="A14" s="38" t="n"/>
      <c r="B14" s="390" t="n"/>
      <c r="C14" s="390" t="n"/>
      <c r="D14" s="390" t="n"/>
      <c r="E14" s="391" t="n"/>
      <c r="F14" s="392" t="n">
        <v>-19.64</v>
      </c>
      <c r="G14" s="393" t="n">
        <v>-15.11</v>
      </c>
      <c r="H14" s="393" t="n">
        <v>-9.98</v>
      </c>
      <c r="I14" s="393" t="n">
        <v>-4.907</v>
      </c>
      <c r="J14" s="394" t="n">
        <v>0</v>
      </c>
      <c r="K14" s="390" t="n"/>
      <c r="L14" s="390" t="n"/>
      <c r="M14" s="392" t="n">
        <v>-19.59</v>
      </c>
      <c r="N14" s="393" t="n">
        <v>-15</v>
      </c>
      <c r="O14" s="393" t="n">
        <v>-9.99</v>
      </c>
      <c r="P14" s="393" t="n">
        <v>-5</v>
      </c>
      <c r="Q14" s="394" t="n">
        <v>0</v>
      </c>
      <c r="R14" s="390" t="n"/>
      <c r="S14" s="395" t="n"/>
      <c r="T14" s="390" t="n"/>
      <c r="U14" s="35" t="n"/>
    </row>
    <row r="15" ht="15" customFormat="1" customHeight="1" s="297" thickBot="1">
      <c r="A15" s="38" t="n"/>
      <c r="B15" s="247" t="n">
        <v>4</v>
      </c>
      <c r="C15" s="247" t="inlineStr">
        <is>
          <t>PTX 4</t>
        </is>
      </c>
      <c r="D15" s="247" t="n">
        <v>-20</v>
      </c>
      <c r="E15" s="385" t="n">
        <v>0</v>
      </c>
      <c r="F15" s="126">
        <f>IF(AND(D15&lt;0,E15=0)=TRUE,0.98*D15,IF(AND(D15=0,E15&gt;0)=TRUE,0,IF(D15=-E15,0.98*D15,IF(AND(D15=-20,E15=100)=TRUE,0.98*D15,IF(AND(D15=-35,E15=300)=TRUE,0.98*D15,IF(AND(D15=-100,E15=160)=TRUE,80,IF(AND(D15=-100,E15=900)=TRUE,80,"x")))))))</f>
        <v/>
      </c>
      <c r="G15" s="82">
        <f>IF(AND(D15&lt;0,E15=0)=TRUE,0.75*D15,IF(AND(D15=0,E15&gt;0)=TRUE,0.25*E15,IF(D15=-E15,0.5*D15,IF(AND(D15=-20,E15=100)=TRUE,0,IF(AND(D15=-35,E15=300)=TRUE,0,IF(AND(D15=-100,E15=160)=TRUE,0,IF(AND(D15=-100,E15=900)=TRUE,0,"x")))))))</f>
        <v/>
      </c>
      <c r="H15" s="82">
        <f>IF(AND(D15&lt;0,E15=0)=TRUE,0.5*D15,IF(AND(D15=0,E15&gt;0)=TRUE,0.5*E15,IF(D15=-E15,0,IF(AND(D15=-20,E15=100)=TRUE,0.33*E15,IF(AND(D15=-35,E15=300)=TRUE,0.33*E15,IF(AND(D15=-100,E15=160)=TRUE,0.33*E15,IF(AND(D15=-100,E15=900)=TRUE,0.33*E15,"x")))))))</f>
        <v/>
      </c>
      <c r="I15" s="82">
        <f>IF(AND(D15&lt;0,E15=0)=TRUE,0.25*D15,IF(AND(D15=0,E15&gt;0)=TRUE,0.75*E15,IF(D15=-E15,0.5*E15,IF(AND(D15=-20,E15=100)=TRUE,0.66*E15,IF(AND(D15=-35,E15=300)=TRUE,0.66*E15,IF(AND(D15=-100,E15=160)=TRUE,0.66*E15,IF(AND(D15=-100,E15=900)=TRUE,0.66*E15,"x")))))))</f>
        <v/>
      </c>
      <c r="J15" s="83">
        <f>IF(AND(D15&lt;0,E15=0)=TRUE,0*D15,IF(AND(D15=0,E15&gt;0)=TRUE,0.98*E15,IF(D15=-E15,0.98*E15,IF(AND(D15=-20,E15=100)=TRUE,0.98*E15,IF(AND(D15=-35,E15=300)=TRUE,0.98*E15,IF(AND(D15=-100,E15=160)=TRUE,0.98*E15,IF(AND(D15=-100,E15=900)=TRUE,0.98*E15,"x")))))))</f>
        <v/>
      </c>
      <c r="K15" s="386" t="inlineStr">
        <is>
          <t>Fail</t>
        </is>
      </c>
      <c r="L15" s="387" t="inlineStr">
        <is>
          <t>A</t>
        </is>
      </c>
      <c r="M15" s="84">
        <f>F15</f>
        <v/>
      </c>
      <c r="N15" s="85">
        <f>G15</f>
        <v/>
      </c>
      <c r="O15" s="86">
        <f>H15</f>
        <v/>
      </c>
      <c r="P15" s="85">
        <f>I15</f>
        <v/>
      </c>
      <c r="Q15" s="87">
        <f>J15</f>
        <v/>
      </c>
      <c r="R15" s="388" t="inlineStr">
        <is>
          <t>kPa</t>
        </is>
      </c>
      <c r="S15" s="389">
        <f>IF(D15&lt;E15,(E15-D15)*0.002,"x")</f>
        <v/>
      </c>
      <c r="T15" s="388" t="n">
        <v>3600434</v>
      </c>
      <c r="U15" s="35" t="n"/>
    </row>
    <row r="16" ht="15" customFormat="1" customHeight="1" s="297" thickBot="1">
      <c r="A16" s="38" t="n"/>
      <c r="B16" s="390" t="n"/>
      <c r="C16" s="390" t="n"/>
      <c r="D16" s="390" t="n"/>
      <c r="E16" s="391" t="n"/>
      <c r="F16" s="392" t="n">
        <v>-19.66</v>
      </c>
      <c r="G16" s="393" t="n">
        <v>-14.99</v>
      </c>
      <c r="H16" s="393" t="n">
        <v>-9.880000000000001</v>
      </c>
      <c r="I16" s="393" t="n">
        <v>-4.9</v>
      </c>
      <c r="J16" s="394" t="n">
        <v>0.08</v>
      </c>
      <c r="K16" s="390" t="n"/>
      <c r="L16" s="390" t="n"/>
      <c r="M16" s="392" t="n">
        <v>-19.59</v>
      </c>
      <c r="N16" s="393" t="n">
        <v>-14.99</v>
      </c>
      <c r="O16" s="393" t="n">
        <v>-9.970000000000001</v>
      </c>
      <c r="P16" s="393" t="n">
        <v>-4.99</v>
      </c>
      <c r="Q16" s="394" t="n">
        <v>0</v>
      </c>
      <c r="R16" s="390" t="n"/>
      <c r="S16" s="395" t="n"/>
      <c r="T16" s="390" t="n"/>
      <c r="U16" s="35" t="n"/>
    </row>
    <row r="17" ht="15" customFormat="1" customHeight="1" s="297" thickBot="1">
      <c r="A17" s="38" t="n"/>
      <c r="B17" s="247" t="n">
        <v>5</v>
      </c>
      <c r="C17" s="247" t="inlineStr">
        <is>
          <t>PTX 5</t>
        </is>
      </c>
      <c r="D17" s="247" t="n">
        <v>0</v>
      </c>
      <c r="E17" s="385" t="n">
        <v>600</v>
      </c>
      <c r="F17" s="126">
        <f>IF(AND(D17&lt;0,E17=0)=TRUE,0.98*D17,IF(AND(D17=0,E17&gt;0)=TRUE,0,IF(D17=-E17,0.98*D17,IF(AND(D17=-20,E17=100)=TRUE,0.98*D17,IF(AND(D17=-35,E17=300)=TRUE,0.98*D17,IF(AND(D17=-100,E17=160)=TRUE,80,IF(AND(D17=-100,E17=900)=TRUE,80,"x")))))))</f>
        <v/>
      </c>
      <c r="G17" s="82">
        <f>IF(AND(D17&lt;0,E17=0)=TRUE,0.75*D17,IF(AND(D17=0,E17&gt;0)=TRUE,0.25*E17,IF(D17=-E17,0.5*D17,IF(AND(D17=-20,E17=100)=TRUE,0,IF(AND(D17=-35,E17=300)=TRUE,0,IF(AND(D17=-100,E17=160)=TRUE,0,IF(AND(D17=-100,E17=900)=TRUE,0,"x")))))))</f>
        <v/>
      </c>
      <c r="H17" s="82">
        <f>IF(AND(D17&lt;0,E17=0)=TRUE,0.5*D17,IF(AND(D17=0,E17&gt;0)=TRUE,0.5*E17,IF(D17=-E17,0,IF(AND(D17=-20,E17=100)=TRUE,0.33*E17,IF(AND(D17=-35,E17=300)=TRUE,0.33*E17,IF(AND(D17=-100,E17=160)=TRUE,0.33*E17,IF(AND(D17=-100,E17=900)=TRUE,0.33*E17,"x")))))))</f>
        <v/>
      </c>
      <c r="I17" s="82">
        <f>IF(AND(D17&lt;0,E17=0)=TRUE,0.25*D17,IF(AND(D17=0,E17&gt;0)=TRUE,0.75*E17,IF(D17=-E17,0.5*E17,IF(AND(D17=-20,E17=100)=TRUE,0.66*E17,IF(AND(D17=-35,E17=300)=TRUE,0.66*E17,IF(AND(D17=-100,E17=160)=TRUE,0.66*E17,IF(AND(D17=-100,E17=900)=TRUE,0.66*E17,"x")))))))</f>
        <v/>
      </c>
      <c r="J17" s="83">
        <f>IF(AND(D17&lt;0,E17=0)=TRUE,0*D17,IF(AND(D17=0,E17&gt;0)=TRUE,0.98*E17,IF(D17=-E17,0.98*E17,IF(AND(D17=-20,E17=100)=TRUE,0.98*E17,IF(AND(D17=-35,E17=300)=TRUE,0.98*E17,IF(AND(D17=-100,E17=160)=TRUE,0.98*E17,IF(AND(D17=-100,E17=900)=TRUE,0.98*E17,"x")))))))</f>
        <v/>
      </c>
      <c r="K17" s="386" t="inlineStr">
        <is>
          <t>Fail</t>
        </is>
      </c>
      <c r="L17" s="387" t="inlineStr">
        <is>
          <t>A</t>
        </is>
      </c>
      <c r="M17" s="84">
        <f>F17</f>
        <v/>
      </c>
      <c r="N17" s="85">
        <f>G17</f>
        <v/>
      </c>
      <c r="O17" s="86">
        <f>H17</f>
        <v/>
      </c>
      <c r="P17" s="85">
        <f>I17</f>
        <v/>
      </c>
      <c r="Q17" s="87">
        <f>J17</f>
        <v/>
      </c>
      <c r="R17" s="388" t="inlineStr">
        <is>
          <t>kPa</t>
        </is>
      </c>
      <c r="S17" s="389">
        <f>IF(D17&lt;E17,(E17-D17)*0.002,"x")</f>
        <v/>
      </c>
      <c r="T17" s="388" t="inlineStr">
        <is>
          <t>Y21927/05</t>
        </is>
      </c>
      <c r="U17" s="35" t="n"/>
    </row>
    <row r="18" ht="15" customFormat="1" customHeight="1" s="297" thickBot="1">
      <c r="A18" s="38" t="n"/>
      <c r="B18" s="390" t="n"/>
      <c r="C18" s="390" t="n"/>
      <c r="D18" s="390" t="n"/>
      <c r="E18" s="391" t="n"/>
      <c r="F18" s="392" t="n">
        <v>-2.56</v>
      </c>
      <c r="G18" s="393" t="n">
        <v>149.32</v>
      </c>
      <c r="H18" s="393" t="n">
        <v>298.8</v>
      </c>
      <c r="I18" s="393" t="n">
        <v>449.53</v>
      </c>
      <c r="J18" s="394" t="n">
        <v>587.67</v>
      </c>
      <c r="K18" s="390" t="n"/>
      <c r="L18" s="390" t="n"/>
      <c r="M18" s="392" t="n">
        <v>0</v>
      </c>
      <c r="N18" s="393" t="n">
        <v>149.96</v>
      </c>
      <c r="O18" s="393" t="n">
        <v>299.96</v>
      </c>
      <c r="P18" s="393" t="n">
        <v>449.92</v>
      </c>
      <c r="Q18" s="394" t="n">
        <v>587.92</v>
      </c>
      <c r="R18" s="390" t="n"/>
      <c r="S18" s="395" t="n"/>
      <c r="T18" s="390" t="n"/>
      <c r="U18" s="35" t="n"/>
    </row>
    <row r="19" ht="15" customFormat="1" customHeight="1" s="297" thickBot="1">
      <c r="A19" s="38" t="n"/>
      <c r="B19" s="247" t="n">
        <v>6</v>
      </c>
      <c r="C19" s="247" t="inlineStr">
        <is>
          <t>PTX 6</t>
        </is>
      </c>
      <c r="D19" s="247" t="n">
        <v>0</v>
      </c>
      <c r="E19" s="385" t="n">
        <v>600</v>
      </c>
      <c r="F19" s="126">
        <f>IF(AND(D19&lt;0,E19=0)=TRUE,0.98*D19,IF(AND(D19=0,E19&gt;0)=TRUE,0,IF(D19=-E19,0.98*D19,IF(AND(D19=-20,E19=100)=TRUE,0.98*D19,IF(AND(D19=-35,E19=300)=TRUE,0.98*D19,IF(AND(D19=-100,E19=160)=TRUE,80,IF(AND(D19=-100,E19=900)=TRUE,80,"x")))))))</f>
        <v/>
      </c>
      <c r="G19" s="82">
        <f>IF(AND(D19&lt;0,E19=0)=TRUE,0.75*D19,IF(AND(D19=0,E19&gt;0)=TRUE,0.25*E19,IF(D19=-E19,0.5*D19,IF(AND(D19=-20,E19=100)=TRUE,0,IF(AND(D19=-35,E19=300)=TRUE,0,IF(AND(D19=-100,E19=160)=TRUE,0,IF(AND(D19=-100,E19=900)=TRUE,0,"x")))))))</f>
        <v/>
      </c>
      <c r="H19" s="82">
        <f>IF(AND(D19&lt;0,E19=0)=TRUE,0.5*D19,IF(AND(D19=0,E19&gt;0)=TRUE,0.5*E19,IF(D19=-E19,0,IF(AND(D19=-20,E19=100)=TRUE,0.33*E19,IF(AND(D19=-35,E19=300)=TRUE,0.33*E19,IF(AND(D19=-100,E19=160)=TRUE,0.33*E19,IF(AND(D19=-100,E19=900)=TRUE,0.33*E19,"x")))))))</f>
        <v/>
      </c>
      <c r="I19" s="82">
        <f>IF(AND(D19&lt;0,E19=0)=TRUE,0.25*D19,IF(AND(D19=0,E19&gt;0)=TRUE,0.75*E19,IF(D19=-E19,0.5*E19,IF(AND(D19=-20,E19=100)=TRUE,0.66*E19,IF(AND(D19=-35,E19=300)=TRUE,0.66*E19,IF(AND(D19=-100,E19=160)=TRUE,0.66*E19,IF(AND(D19=-100,E19=900)=TRUE,0.66*E19,"x")))))))</f>
        <v/>
      </c>
      <c r="J19" s="83">
        <f>IF(AND(D19&lt;0,E19=0)=TRUE,0*D19,IF(AND(D19=0,E19&gt;0)=TRUE,0.98*E19,IF(D19=-E19,0.98*E19,IF(AND(D19=-20,E19=100)=TRUE,0.98*E19,IF(AND(D19=-35,E19=300)=TRUE,0.98*E19,IF(AND(D19=-100,E19=160)=TRUE,0.98*E19,IF(AND(D19=-100,E19=900)=TRUE,0.98*E19,"x")))))))</f>
        <v/>
      </c>
      <c r="K19" s="386" t="inlineStr">
        <is>
          <t>Pass</t>
        </is>
      </c>
      <c r="L19" s="387" t="inlineStr">
        <is>
          <t>A</t>
        </is>
      </c>
      <c r="M19" s="84">
        <f>F19</f>
        <v/>
      </c>
      <c r="N19" s="85">
        <f>G19</f>
        <v/>
      </c>
      <c r="O19" s="86">
        <f>H19</f>
        <v/>
      </c>
      <c r="P19" s="85">
        <f>I19</f>
        <v/>
      </c>
      <c r="Q19" s="87">
        <f>J19</f>
        <v/>
      </c>
      <c r="R19" s="388" t="inlineStr">
        <is>
          <t>kPa</t>
        </is>
      </c>
      <c r="S19" s="389">
        <f>IF(D19&lt;E19,(E19-D19)*0.002,"x")</f>
        <v/>
      </c>
      <c r="T19" s="388" t="inlineStr">
        <is>
          <t>Y21919/07</t>
        </is>
      </c>
      <c r="U19" s="35" t="n"/>
    </row>
    <row r="20" ht="15" customFormat="1" customHeight="1" s="297" thickBot="1">
      <c r="A20" s="38" t="n"/>
      <c r="B20" s="390" t="n"/>
      <c r="C20" s="390" t="n"/>
      <c r="D20" s="390" t="n"/>
      <c r="E20" s="391" t="n"/>
      <c r="F20" s="392" t="n">
        <v>-0.79</v>
      </c>
      <c r="G20" s="393" t="n">
        <v>149.67</v>
      </c>
      <c r="H20" s="393" t="n">
        <v>299.84</v>
      </c>
      <c r="I20" s="393" t="n">
        <v>449.94</v>
      </c>
      <c r="J20" s="394" t="n">
        <v>588.03</v>
      </c>
      <c r="K20" s="390" t="n"/>
      <c r="L20" s="390" t="n"/>
      <c r="M20" s="392" t="n">
        <v>-0.03</v>
      </c>
      <c r="N20" s="393" t="n">
        <v>150</v>
      </c>
      <c r="O20" s="393" t="n">
        <v>300.03</v>
      </c>
      <c r="P20" s="393" t="n">
        <v>450</v>
      </c>
      <c r="Q20" s="394" t="n">
        <v>588.03</v>
      </c>
      <c r="R20" s="390" t="n"/>
      <c r="S20" s="395" t="n"/>
      <c r="T20" s="390" t="n"/>
      <c r="U20" s="35" t="n"/>
    </row>
    <row r="21" ht="15" customFormat="1" customHeight="1" s="297" thickBot="1">
      <c r="A21" s="38" t="n"/>
      <c r="B21" s="247" t="n">
        <v>7</v>
      </c>
      <c r="C21" s="247" t="inlineStr">
        <is>
          <t>PTX 7</t>
        </is>
      </c>
      <c r="D21" s="247" t="n">
        <v>0</v>
      </c>
      <c r="E21" s="385" t="n">
        <v>600</v>
      </c>
      <c r="F21" s="126">
        <f>IF(AND(D21&lt;0,E21=0)=TRUE,0.98*D21,IF(AND(D21=0,E21&gt;0)=TRUE,0,IF(D21=-E21,0.98*D21,IF(AND(D21=-20,E21=100)=TRUE,0.98*D21,IF(AND(D21=-35,E21=300)=TRUE,0.98*D21,IF(AND(D21=-100,E21=160)=TRUE,80,IF(AND(D21=-100,E21=900)=TRUE,80,"x")))))))</f>
        <v/>
      </c>
      <c r="G21" s="82">
        <f>IF(AND(D21&lt;0,E21=0)=TRUE,0.75*D21,IF(AND(D21=0,E21&gt;0)=TRUE,0.25*E21,IF(D21=-E21,0.5*D21,IF(AND(D21=-20,E21=100)=TRUE,0,IF(AND(D21=-35,E21=300)=TRUE,0,IF(AND(D21=-100,E21=160)=TRUE,0,IF(AND(D21=-100,E21=900)=TRUE,0,"x")))))))</f>
        <v/>
      </c>
      <c r="H21" s="82">
        <f>IF(AND(D21&lt;0,E21=0)=TRUE,0.5*D21,IF(AND(D21=0,E21&gt;0)=TRUE,0.5*E21,IF(D21=-E21,0,IF(AND(D21=-20,E21=100)=TRUE,0.33*E21,IF(AND(D21=-35,E21=300)=TRUE,0.33*E21,IF(AND(D21=-100,E21=160)=TRUE,0.33*E21,IF(AND(D21=-100,E21=900)=TRUE,0.33*E21,"x")))))))</f>
        <v/>
      </c>
      <c r="I21" s="82">
        <f>IF(AND(D21&lt;0,E21=0)=TRUE,0.25*D21,IF(AND(D21=0,E21&gt;0)=TRUE,0.75*E21,IF(D21=-E21,0.5*E21,IF(AND(D21=-20,E21=100)=TRUE,0.66*E21,IF(AND(D21=-35,E21=300)=TRUE,0.66*E21,IF(AND(D21=-100,E21=160)=TRUE,0.66*E21,IF(AND(D21=-100,E21=900)=TRUE,0.66*E21,"x")))))))</f>
        <v/>
      </c>
      <c r="J21" s="83">
        <f>IF(AND(D21&lt;0,E21=0)=TRUE,0*D21,IF(AND(D21=0,E21&gt;0)=TRUE,0.98*E21,IF(D21=-E21,0.98*E21,IF(AND(D21=-20,E21=100)=TRUE,0.98*E21,IF(AND(D21=-35,E21=300)=TRUE,0.98*E21,IF(AND(D21=-100,E21=160)=TRUE,0.98*E21,IF(AND(D21=-100,E21=900)=TRUE,0.98*E21,"x")))))))</f>
        <v/>
      </c>
      <c r="K21" s="386" t="inlineStr">
        <is>
          <t>Pass</t>
        </is>
      </c>
      <c r="L21" s="387" t="inlineStr">
        <is>
          <t>A</t>
        </is>
      </c>
      <c r="M21" s="84">
        <f>F21</f>
        <v/>
      </c>
      <c r="N21" s="85">
        <f>G21</f>
        <v/>
      </c>
      <c r="O21" s="86">
        <f>H21</f>
        <v/>
      </c>
      <c r="P21" s="85">
        <f>I21</f>
        <v/>
      </c>
      <c r="Q21" s="87">
        <f>J21</f>
        <v/>
      </c>
      <c r="R21" s="388" t="inlineStr">
        <is>
          <t>kPa</t>
        </is>
      </c>
      <c r="S21" s="389">
        <f>IF(D21&lt;E21,(E21-D21)*0.002,"x")</f>
        <v/>
      </c>
      <c r="T21" s="388" t="n">
        <v>3602492</v>
      </c>
      <c r="U21" s="35" t="n"/>
    </row>
    <row r="22" ht="15" customFormat="1" customHeight="1" s="297" thickBot="1">
      <c r="A22" s="38" t="n"/>
      <c r="B22" s="390" t="n"/>
      <c r="C22" s="390" t="n"/>
      <c r="D22" s="390" t="n"/>
      <c r="E22" s="391" t="n"/>
      <c r="F22" s="392" t="n">
        <v>0</v>
      </c>
      <c r="G22" s="393" t="n">
        <v>150.09</v>
      </c>
      <c r="H22" s="393" t="n">
        <v>300.03</v>
      </c>
      <c r="I22" s="393" t="n">
        <v>450.01</v>
      </c>
      <c r="J22" s="394" t="n">
        <v>588.03</v>
      </c>
      <c r="K22" s="390" t="n"/>
      <c r="L22" s="390" t="n"/>
      <c r="M22" s="392" t="n">
        <v>0</v>
      </c>
      <c r="N22" s="393" t="n">
        <v>149.88</v>
      </c>
      <c r="O22" s="393" t="n">
        <v>300</v>
      </c>
      <c r="P22" s="393" t="n">
        <v>449.88</v>
      </c>
      <c r="Q22" s="394" t="n">
        <v>587.92</v>
      </c>
      <c r="R22" s="390" t="n"/>
      <c r="S22" s="395" t="n"/>
      <c r="T22" s="390" t="n"/>
      <c r="U22" s="35" t="n"/>
    </row>
    <row r="23" ht="15" customFormat="1" customHeight="1" s="297" thickBot="1">
      <c r="A23" s="38" t="n"/>
      <c r="B23" s="247" t="n">
        <v>8</v>
      </c>
      <c r="C23" s="247" t="inlineStr">
        <is>
          <t>PTX 8</t>
        </is>
      </c>
      <c r="D23" s="247" t="n">
        <v>0</v>
      </c>
      <c r="E23" s="385" t="n">
        <v>0</v>
      </c>
      <c r="F23" s="126">
        <f>IF(AND(D23&lt;0,E23=0)=TRUE,0.98*D23,IF(AND(D23=0,E23&gt;0)=TRUE,0,IF(D23=-E23,0.98*D23,IF(AND(D23=-20,E23=100)=TRUE,0.98*D23,IF(AND(D23=-35,E23=300)=TRUE,0.98*D23,IF(AND(D23=-100,E23=160)=TRUE,80,IF(AND(D23=-100,E23=900)=TRUE,80,"x")))))))</f>
        <v/>
      </c>
      <c r="G23" s="82">
        <f>IF(AND(D23&lt;0,E23=0)=TRUE,0.75*D23,IF(AND(D23=0,E23&gt;0)=TRUE,0.25*E23,IF(D23=-E23,0.5*D23,IF(AND(D23=-20,E23=100)=TRUE,0,IF(AND(D23=-35,E23=300)=TRUE,0,IF(AND(D23=-100,E23=160)=TRUE,0,IF(AND(D23=-100,E23=900)=TRUE,0,"x")))))))</f>
        <v/>
      </c>
      <c r="H23" s="82">
        <f>IF(AND(D23&lt;0,E23=0)=TRUE,0.5*D23,IF(AND(D23=0,E23&gt;0)=TRUE,0.5*E23,IF(D23=-E23,0,IF(AND(D23=-20,E23=100)=TRUE,0.33*E23,IF(AND(D23=-35,E23=300)=TRUE,0.33*E23,IF(AND(D23=-100,E23=160)=TRUE,0.33*E23,IF(AND(D23=-100,E23=900)=TRUE,0.33*E23,"x")))))))</f>
        <v/>
      </c>
      <c r="I23" s="82">
        <f>IF(AND(D23&lt;0,E23=0)=TRUE,0.25*D23,IF(AND(D23=0,E23&gt;0)=TRUE,0.75*E23,IF(D23=-E23,0.5*E23,IF(AND(D23=-20,E23=100)=TRUE,0.66*E23,IF(AND(D23=-35,E23=300)=TRUE,0.66*E23,IF(AND(D23=-100,E23=160)=TRUE,0.66*E23,IF(AND(D23=-100,E23=900)=TRUE,0.66*E23,"x")))))))</f>
        <v/>
      </c>
      <c r="J23" s="83">
        <f>IF(AND(D23&lt;0,E23=0)=TRUE,0*D23,IF(AND(D23=0,E23&gt;0)=TRUE,0.98*E23,IF(D23=-E23,0.98*E23,IF(AND(D23=-20,E23=100)=TRUE,0.98*E23,IF(AND(D23=-35,E23=300)=TRUE,0.98*E23,IF(AND(D23=-100,E23=160)=TRUE,0.98*E23,IF(AND(D23=-100,E23=900)=TRUE,0.98*E23,"x")))))))</f>
        <v/>
      </c>
      <c r="K23" s="386" t="inlineStr">
        <is>
          <t>Pass</t>
        </is>
      </c>
      <c r="L23" s="387" t="inlineStr">
        <is>
          <t>A</t>
        </is>
      </c>
      <c r="M23" s="84">
        <f>F23</f>
        <v/>
      </c>
      <c r="N23" s="85">
        <f>G23</f>
        <v/>
      </c>
      <c r="O23" s="86">
        <f>H23</f>
        <v/>
      </c>
      <c r="P23" s="85">
        <f>I23</f>
        <v/>
      </c>
      <c r="Q23" s="87">
        <f>J23</f>
        <v/>
      </c>
      <c r="R23" s="388" t="inlineStr">
        <is>
          <t>kPa</t>
        </is>
      </c>
      <c r="S23" s="389">
        <f>IF(D23&lt;E23,(E23-D23)*0.002,"x")</f>
        <v/>
      </c>
      <c r="T23" s="388" t="n"/>
      <c r="U23" s="35" t="n"/>
    </row>
    <row r="24" ht="15" customFormat="1" customHeight="1" s="297" thickBot="1">
      <c r="A24" s="38" t="n"/>
      <c r="B24" s="390" t="n"/>
      <c r="C24" s="390" t="n"/>
      <c r="D24" s="390" t="n"/>
      <c r="E24" s="391" t="n"/>
      <c r="F24" s="392" t="n"/>
      <c r="G24" s="393" t="n"/>
      <c r="H24" s="393" t="n"/>
      <c r="I24" s="393" t="n"/>
      <c r="J24" s="394" t="n"/>
      <c r="K24" s="390" t="n"/>
      <c r="L24" s="390" t="n"/>
      <c r="M24" s="392" t="n"/>
      <c r="N24" s="392" t="n"/>
      <c r="O24" s="392" t="n"/>
      <c r="P24" s="392" t="n"/>
      <c r="Q24" s="392" t="n"/>
      <c r="R24" s="390" t="n"/>
      <c r="S24" s="395" t="n"/>
      <c r="T24" s="390" t="n"/>
      <c r="U24" s="35" t="n"/>
    </row>
    <row r="25" ht="15" customFormat="1" customHeight="1" s="297" thickBot="1">
      <c r="A25" s="38" t="n"/>
      <c r="B25" s="247" t="n">
        <v>9</v>
      </c>
      <c r="C25" s="247" t="inlineStr">
        <is>
          <t>PTX 9</t>
        </is>
      </c>
      <c r="D25" s="247" t="n">
        <v>-100</v>
      </c>
      <c r="E25" s="385" t="n">
        <v>160</v>
      </c>
      <c r="F25" s="126" t="n">
        <v>-80</v>
      </c>
      <c r="G25" s="82">
        <f>IF(AND(D25&lt;0,E25=0)=TRUE,0.75*D25,IF(AND(D25=0,E25&gt;0)=TRUE,0.25*E25,IF(D25=-E25,0.5*D25,IF(AND(D25=-20,E25=100)=TRUE,0,IF(AND(D25=-35,E25=300)=TRUE,0,IF(AND(D25=-100,E25=160)=TRUE,0,IF(AND(D25=-100,E25=900)=TRUE,0,"x")))))))</f>
        <v/>
      </c>
      <c r="H25" s="82">
        <f>IF(AND(D25&lt;0,E25=0)=TRUE,0.5*D25,IF(AND(D25=0,E25&gt;0)=TRUE,0.5*E25,IF(D25=-E25,0,IF(AND(D25=-20,E25=100)=TRUE,0.33*E25,IF(AND(D25=-35,E25=300)=TRUE,0.33*E25,IF(AND(D25=-100,E25=160)=TRUE,0.33*E25,IF(AND(D25=-100,E25=900)=TRUE,0.33*E25,"x")))))))</f>
        <v/>
      </c>
      <c r="I25" s="82">
        <f>IF(AND(D25&lt;0,E25=0)=TRUE,0.25*D25,IF(AND(D25=0,E25&gt;0)=TRUE,0.75*E25,IF(D25=-E25,0.5*E25,IF(AND(D25=-20,E25=100)=TRUE,0.66*E25,IF(AND(D25=-35,E25=300)=TRUE,0.66*E25,IF(AND(D25=-100,E25=160)=TRUE,0.66*E25,IF(AND(D25=-100,E25=900)=TRUE,0.66*E25,"x")))))))</f>
        <v/>
      </c>
      <c r="J25" s="83">
        <f>IF(AND(D25&lt;0,E25=0)=TRUE,0*D25,IF(AND(D25=0,E25&gt;0)=TRUE,0.98*E25,IF(D25=-E25,0.98*E25,IF(AND(D25=-20,E25=100)=TRUE,0.98*E25,IF(AND(D25=-35,E25=300)=TRUE,0.98*E25,IF(AND(D25=-100,E25=160)=TRUE,0.98*E25,IF(AND(D25=-100,E25=900)=TRUE,0.98*E25,"x")))))))</f>
        <v/>
      </c>
      <c r="K25" s="386" t="inlineStr">
        <is>
          <t>Pass</t>
        </is>
      </c>
      <c r="L25" s="387" t="inlineStr">
        <is>
          <t>A</t>
        </is>
      </c>
      <c r="M25" s="84">
        <f>F25</f>
        <v/>
      </c>
      <c r="N25" s="85">
        <f>G25</f>
        <v/>
      </c>
      <c r="O25" s="86">
        <f>H25</f>
        <v/>
      </c>
      <c r="P25" s="85">
        <f>I25</f>
        <v/>
      </c>
      <c r="Q25" s="87">
        <f>J25</f>
        <v/>
      </c>
      <c r="R25" s="388" t="inlineStr">
        <is>
          <t>kPa</t>
        </is>
      </c>
      <c r="S25" s="389">
        <f>IF(D25&lt;E25,(E25-D25)*0.002,"x")</f>
        <v/>
      </c>
      <c r="T25" s="388" t="n">
        <v>3083990</v>
      </c>
      <c r="U25" s="35" t="n"/>
    </row>
    <row r="26" ht="15" customFormat="1" customHeight="1" s="297" thickBot="1">
      <c r="A26" s="38" t="n"/>
      <c r="B26" s="390" t="n"/>
      <c r="C26" s="390" t="n"/>
      <c r="D26" s="390" t="n"/>
      <c r="E26" s="391" t="n"/>
      <c r="F26" s="392" t="n">
        <v>-79.95</v>
      </c>
      <c r="G26" s="393" t="n">
        <v>-0.19</v>
      </c>
      <c r="H26" s="393" t="n">
        <v>52.71</v>
      </c>
      <c r="I26" s="393" t="n">
        <v>105.51</v>
      </c>
      <c r="J26" s="394" t="n">
        <v>156.71</v>
      </c>
      <c r="K26" s="390" t="n"/>
      <c r="L26" s="390" t="n"/>
      <c r="M26" s="392" t="n">
        <v>-80</v>
      </c>
      <c r="N26" s="392" t="n">
        <v>0.01</v>
      </c>
      <c r="O26" s="392" t="n">
        <v>52.83</v>
      </c>
      <c r="P26" s="392" t="n">
        <v>105.6</v>
      </c>
      <c r="Q26" s="392" t="n">
        <v>156.84</v>
      </c>
      <c r="R26" s="390" t="n"/>
      <c r="S26" s="395" t="n"/>
      <c r="T26" s="390" t="n"/>
      <c r="U26" s="35" t="n"/>
    </row>
    <row r="27" ht="15" customFormat="1" customHeight="1" s="297" thickBot="1">
      <c r="A27" s="38" t="n"/>
      <c r="B27" s="247" t="n">
        <v>10</v>
      </c>
      <c r="C27" s="247" t="inlineStr">
        <is>
          <t>PTX 10</t>
        </is>
      </c>
      <c r="D27" s="247" t="n">
        <v>-100</v>
      </c>
      <c r="E27" s="385" t="n">
        <v>160</v>
      </c>
      <c r="F27" s="126" t="n">
        <v>-80</v>
      </c>
      <c r="G27" s="82">
        <f>IF(AND(D27&lt;0,E27=0)=TRUE,0.75*D27,IF(AND(D27=0,E27&gt;0)=TRUE,0.25*E27,IF(D27=-E27,0.5*D27,IF(AND(D27=-20,E27=100)=TRUE,0,IF(AND(D27=-35,E27=300)=TRUE,0,IF(AND(D27=-100,E27=160)=TRUE,0,IF(AND(D27=-100,E27=900)=TRUE,0,"x")))))))</f>
        <v/>
      </c>
      <c r="H27" s="82">
        <f>IF(AND(D27&lt;0,E27=0)=TRUE,0.5*D27,IF(AND(D27=0,E27&gt;0)=TRUE,0.5*E27,IF(D27=-E27,0,IF(AND(D27=-20,E27=100)=TRUE,0.33*E27,IF(AND(D27=-35,E27=300)=TRUE,0.33*E27,IF(AND(D27=-100,E27=160)=TRUE,0.33*E27,IF(AND(D27=-100,E27=900)=TRUE,0.33*E27,"x")))))))</f>
        <v/>
      </c>
      <c r="I27" s="82">
        <f>IF(AND(D27&lt;0,E27=0)=TRUE,0.25*D27,IF(AND(D27=0,E27&gt;0)=TRUE,0.75*E27,IF(D27=-E27,0.5*E27,IF(AND(D27=-20,E27=100)=TRUE,0.66*E27,IF(AND(D27=-35,E27=300)=TRUE,0.66*E27,IF(AND(D27=-100,E27=160)=TRUE,0.66*E27,IF(AND(D27=-100,E27=900)=TRUE,0.66*E27,"x")))))))</f>
        <v/>
      </c>
      <c r="J27" s="83">
        <f>IF(AND(D27&lt;0,E27=0)=TRUE,0*D27,IF(AND(D27=0,E27&gt;0)=TRUE,0.98*E27,IF(D27=-E27,0.98*E27,IF(AND(D27=-20,E27=100)=TRUE,0.98*E27,IF(AND(D27=-35,E27=300)=TRUE,0.98*E27,IF(AND(D27=-100,E27=160)=TRUE,0.98*E27,IF(AND(D27=-100,E27=900)=TRUE,0.98*E27,"x")))))))</f>
        <v/>
      </c>
      <c r="K27" s="386" t="inlineStr">
        <is>
          <t>Pass</t>
        </is>
      </c>
      <c r="L27" s="387" t="inlineStr">
        <is>
          <t>A</t>
        </is>
      </c>
      <c r="M27" s="84">
        <f>F27</f>
        <v/>
      </c>
      <c r="N27" s="85">
        <f>G27</f>
        <v/>
      </c>
      <c r="O27" s="86">
        <f>H27</f>
        <v/>
      </c>
      <c r="P27" s="85">
        <f>I27</f>
        <v/>
      </c>
      <c r="Q27" s="87">
        <f>J27</f>
        <v/>
      </c>
      <c r="R27" s="388" t="inlineStr">
        <is>
          <t>kPa</t>
        </is>
      </c>
      <c r="S27" s="389">
        <f>IF(D27&lt;E27,(E27-D27)*0.002,"x")</f>
        <v/>
      </c>
      <c r="T27" s="388" t="n">
        <v>3121454</v>
      </c>
      <c r="U27" s="35" t="n"/>
    </row>
    <row r="28" ht="15" customFormat="1" customHeight="1" s="297" thickBot="1">
      <c r="A28" s="38" t="n"/>
      <c r="B28" s="390" t="n"/>
      <c r="C28" s="390" t="n"/>
      <c r="D28" s="390" t="n"/>
      <c r="E28" s="391" t="n"/>
      <c r="F28" s="392" t="n">
        <v>-79.93000000000001</v>
      </c>
      <c r="G28" s="393" t="n">
        <v>-0.11</v>
      </c>
      <c r="H28" s="393" t="n">
        <v>52.64</v>
      </c>
      <c r="I28" s="393" t="n">
        <v>105.43</v>
      </c>
      <c r="J28" s="394" t="n">
        <v>156.62</v>
      </c>
      <c r="K28" s="390" t="n"/>
      <c r="L28" s="390" t="n"/>
      <c r="M28" s="392" t="n">
        <v>-79.98</v>
      </c>
      <c r="N28" s="392" t="n">
        <v>0.01</v>
      </c>
      <c r="O28" s="392" t="n">
        <v>52.78</v>
      </c>
      <c r="P28" s="392" t="n">
        <v>105.6</v>
      </c>
      <c r="Q28" s="392" t="n">
        <v>156.8</v>
      </c>
      <c r="R28" s="390" t="n"/>
      <c r="S28" s="395" t="n"/>
      <c r="T28" s="390" t="n"/>
      <c r="U28" s="35" t="n"/>
    </row>
    <row r="29" ht="15" customFormat="1" customHeight="1" s="297" thickBot="1">
      <c r="A29" s="38" t="n"/>
      <c r="B29" s="247" t="n">
        <v>11</v>
      </c>
      <c r="C29" s="247" t="inlineStr">
        <is>
          <t>PTX 11</t>
        </is>
      </c>
      <c r="D29" s="247" t="n">
        <v>0</v>
      </c>
      <c r="E29" s="385" t="n">
        <v>1000</v>
      </c>
      <c r="F29" s="126">
        <f>IF(AND(D29&lt;0,E29=0)=TRUE,0.98*D29,IF(AND(D29=0,E29&gt;0)=TRUE,0,IF(D29=-E29,0.98*D29,IF(AND(D29=-20,E29=100)=TRUE,0.98*D29,IF(AND(D29=-35,E29=300)=TRUE,0.98*D29,IF(AND(D29=-100,E29=160)=TRUE,80,IF(AND(D29=-100,E29=900)=TRUE,80,"x")))))))</f>
        <v/>
      </c>
      <c r="G29" s="82">
        <f>IF(AND(D29&lt;0,E29=0)=TRUE,0.75*D29,IF(AND(D29=0,E29&gt;0)=TRUE,0.25*E29,IF(D29=-E29,0.5*D29,IF(AND(D29=-20,E29=100)=TRUE,0,IF(AND(D29=-35,E29=300)=TRUE,0,IF(AND(D29=-100,E29=160)=TRUE,0,IF(AND(D29=-100,E29=900)=TRUE,0,"x")))))))</f>
        <v/>
      </c>
      <c r="H29" s="82">
        <f>IF(AND(D29&lt;0,E29=0)=TRUE,0.5*D29,IF(AND(D29=0,E29&gt;0)=TRUE,0.5*E29,IF(D29=-E29,0,IF(AND(D29=-20,E29=100)=TRUE,0.33*E29,IF(AND(D29=-35,E29=300)=TRUE,0.33*E29,IF(AND(D29=-100,E29=160)=TRUE,0.33*E29,IF(AND(D29=-100,E29=900)=TRUE,0.33*E29,"x")))))))</f>
        <v/>
      </c>
      <c r="I29" s="82">
        <f>IF(AND(D29&lt;0,E29=0)=TRUE,0.25*D29,IF(AND(D29=0,E29&gt;0)=TRUE,0.75*E29,IF(D29=-E29,0.5*E29,IF(AND(D29=-20,E29=100)=TRUE,0.66*E29,IF(AND(D29=-35,E29=300)=TRUE,0.66*E29,IF(AND(D29=-100,E29=160)=TRUE,0.66*E29,IF(AND(D29=-100,E29=900)=TRUE,0.66*E29,"x")))))))</f>
        <v/>
      </c>
      <c r="J29" s="83">
        <f>IF(AND(D29&lt;0,E29=0)=TRUE,0*D29,IF(AND(D29=0,E29&gt;0)=TRUE,0.98*E29,IF(D29=-E29,0.98*E29,IF(AND(D29=-20,E29=100)=TRUE,0.98*E29,IF(AND(D29=-35,E29=300)=TRUE,0.98*E29,IF(AND(D29=-100,E29=160)=TRUE,0.98*E29,IF(AND(D29=-100,E29=900)=TRUE,0.98*E29,"x")))))))</f>
        <v/>
      </c>
      <c r="K29" s="386" t="inlineStr">
        <is>
          <t>Pass</t>
        </is>
      </c>
      <c r="L29" s="387" t="inlineStr">
        <is>
          <t>A</t>
        </is>
      </c>
      <c r="M29" s="84">
        <f>F29</f>
        <v/>
      </c>
      <c r="N29" s="85">
        <f>G29</f>
        <v/>
      </c>
      <c r="O29" s="86">
        <f>H29</f>
        <v/>
      </c>
      <c r="P29" s="85">
        <f>I29</f>
        <v/>
      </c>
      <c r="Q29" s="87">
        <f>J29</f>
        <v/>
      </c>
      <c r="R29" s="388" t="inlineStr">
        <is>
          <t>kPa</t>
        </is>
      </c>
      <c r="S29" s="389">
        <f>IF(D29&lt;E29,(E29-D29)*0.002,"x")</f>
        <v/>
      </c>
      <c r="T29" s="388" t="n">
        <v>10151163</v>
      </c>
      <c r="U29" s="35" t="n"/>
    </row>
    <row r="30" ht="15" customFormat="1" customHeight="1" s="297" thickBot="1">
      <c r="A30" s="38" t="n"/>
      <c r="B30" s="390" t="n"/>
      <c r="C30" s="390" t="n"/>
      <c r="D30" s="390" t="n"/>
      <c r="E30" s="391" t="n"/>
      <c r="F30" s="392" t="n">
        <v>0</v>
      </c>
      <c r="G30" s="393" t="n">
        <v>250.31</v>
      </c>
      <c r="H30" s="393" t="n">
        <v>500.22</v>
      </c>
      <c r="I30" s="393" t="n">
        <v>750.2</v>
      </c>
      <c r="J30" s="394" t="n">
        <v>979.49</v>
      </c>
      <c r="K30" s="390" t="n"/>
      <c r="L30" s="390" t="n"/>
      <c r="M30" s="392" t="n">
        <v>0</v>
      </c>
      <c r="N30" s="393" t="n">
        <v>249.48</v>
      </c>
      <c r="O30" s="393" t="n">
        <v>499.49</v>
      </c>
      <c r="P30" s="393" t="n">
        <v>749.8</v>
      </c>
      <c r="Q30" s="394" t="n">
        <v>980</v>
      </c>
      <c r="R30" s="390" t="n"/>
      <c r="S30" s="395" t="n"/>
      <c r="T30" s="390" t="n"/>
      <c r="U30" s="35" t="n"/>
    </row>
    <row r="31" ht="15" customFormat="1" customHeight="1" s="297" thickBot="1">
      <c r="A31" s="38" t="n"/>
      <c r="B31" s="247" t="n">
        <v>12</v>
      </c>
      <c r="C31" s="247" t="inlineStr">
        <is>
          <t>PTX 12</t>
        </is>
      </c>
      <c r="D31" s="247" t="n">
        <v>0</v>
      </c>
      <c r="E31" s="385" t="n">
        <v>1000</v>
      </c>
      <c r="F31" s="126">
        <f>IF(AND(D31&lt;0,E31=0)=TRUE,0.98*D31,IF(AND(D31=0,E31&gt;0)=TRUE,0,IF(D31=-E31,0.98*D31,IF(AND(D31=-20,E31=100)=TRUE,0.98*D31,IF(AND(D31=-35,E31=300)=TRUE,0.98*D31,IF(AND(D31=-100,E31=160)=TRUE,80,IF(AND(D31=-100,E31=900)=TRUE,80,"x")))))))</f>
        <v/>
      </c>
      <c r="G31" s="82">
        <f>IF(AND(D31&lt;0,E31=0)=TRUE,0.75*D31,IF(AND(D31=0,E31&gt;0)=TRUE,0.25*E31,IF(D31=-E31,0.5*D31,IF(AND(D31=-20,E31=100)=TRUE,0,IF(AND(D31=-35,E31=300)=TRUE,0,IF(AND(D31=-100,E31=160)=TRUE,0,IF(AND(D31=-100,E31=900)=TRUE,0,"x")))))))</f>
        <v/>
      </c>
      <c r="H31" s="82">
        <f>IF(AND(D31&lt;0,E31=0)=TRUE,0.5*D31,IF(AND(D31=0,E31&gt;0)=TRUE,0.5*E31,IF(D31=-E31,0,IF(AND(D31=-20,E31=100)=TRUE,0.33*E31,IF(AND(D31=-35,E31=300)=TRUE,0.33*E31,IF(AND(D31=-100,E31=160)=TRUE,0.33*E31,IF(AND(D31=-100,E31=900)=TRUE,0.33*E31,"x")))))))</f>
        <v/>
      </c>
      <c r="I31" s="82">
        <f>IF(AND(D31&lt;0,E31=0)=TRUE,0.25*D31,IF(AND(D31=0,E31&gt;0)=TRUE,0.75*E31,IF(D31=-E31,0.5*E31,IF(AND(D31=-20,E31=100)=TRUE,0.66*E31,IF(AND(D31=-35,E31=300)=TRUE,0.66*E31,IF(AND(D31=-100,E31=160)=TRUE,0.66*E31,IF(AND(D31=-100,E31=900)=TRUE,0.66*E31,"x")))))))</f>
        <v/>
      </c>
      <c r="J31" s="83">
        <f>IF(AND(D31&lt;0,E31=0)=TRUE,0*D31,IF(AND(D31=0,E31&gt;0)=TRUE,0.98*E31,IF(D31=-E31,0.98*E31,IF(AND(D31=-20,E31=100)=TRUE,0.98*E31,IF(AND(D31=-35,E31=300)=TRUE,0.98*E31,IF(AND(D31=-100,E31=160)=TRUE,0.98*E31,IF(AND(D31=-100,E31=900)=TRUE,0.98*E31,"x")))))))</f>
        <v/>
      </c>
      <c r="K31" s="386" t="inlineStr">
        <is>
          <t>Pass</t>
        </is>
      </c>
      <c r="L31" s="387" t="inlineStr">
        <is>
          <t>A</t>
        </is>
      </c>
      <c r="M31" s="84">
        <f>F31</f>
        <v/>
      </c>
      <c r="N31" s="85">
        <f>G31</f>
        <v/>
      </c>
      <c r="O31" s="86">
        <f>H31</f>
        <v/>
      </c>
      <c r="P31" s="85">
        <f>I31</f>
        <v/>
      </c>
      <c r="Q31" s="87">
        <f>J31</f>
        <v/>
      </c>
      <c r="R31" s="388" t="inlineStr">
        <is>
          <t>kPa</t>
        </is>
      </c>
      <c r="S31" s="389">
        <f>IF(D31&lt;E31,(E31-D31)*0.002,"x")</f>
        <v/>
      </c>
      <c r="T31" s="388" t="n">
        <v>5431373</v>
      </c>
      <c r="U31" s="35" t="n"/>
    </row>
    <row r="32" ht="15" customFormat="1" customHeight="1" s="297" thickBot="1">
      <c r="A32" s="38" t="n"/>
      <c r="B32" s="390" t="n"/>
      <c r="C32" s="390" t="n"/>
      <c r="D32" s="390" t="n"/>
      <c r="E32" s="391" t="n"/>
      <c r="F32" s="392" t="n">
        <v>0</v>
      </c>
      <c r="G32" s="393" t="n">
        <v>250.95</v>
      </c>
      <c r="H32" s="393" t="n">
        <v>500.86</v>
      </c>
      <c r="I32" s="393" t="n">
        <v>750.89</v>
      </c>
      <c r="J32" s="394" t="n">
        <v>980.78</v>
      </c>
      <c r="K32" s="390" t="n"/>
      <c r="L32" s="390" t="n"/>
      <c r="M32" s="392" t="n">
        <v>0</v>
      </c>
      <c r="N32" s="393" t="n">
        <v>250.12</v>
      </c>
      <c r="O32" s="393" t="n">
        <v>500.06</v>
      </c>
      <c r="P32" s="393" t="n">
        <v>750.12</v>
      </c>
      <c r="Q32" s="394" t="n">
        <v>980</v>
      </c>
      <c r="R32" s="390" t="n"/>
      <c r="S32" s="395" t="n"/>
      <c r="T32" s="390" t="n"/>
      <c r="U32" s="35" t="n"/>
    </row>
    <row r="33" ht="15" customFormat="1" customHeight="1" s="297" thickBot="1">
      <c r="A33" s="38" t="n"/>
      <c r="B33" s="247" t="n">
        <v>13</v>
      </c>
      <c r="C33" s="247" t="inlineStr">
        <is>
          <t>PTX 13</t>
        </is>
      </c>
      <c r="D33" s="247" t="n">
        <v>0</v>
      </c>
      <c r="E33" s="385" t="n">
        <v>600</v>
      </c>
      <c r="F33" s="126">
        <f>IF(AND(D33&lt;0,E33=0)=TRUE,0.98*D33,IF(AND(D33=0,E33&gt;0)=TRUE,0,IF(D33=-E33,0.98*D33,IF(AND(D33=-20,E33=100)=TRUE,0.98*D33,IF(AND(D33=-35,E33=300)=TRUE,0.98*D33,IF(AND(D33=-100,E33=160)=TRUE,80,IF(AND(D33=-100,E33=900)=TRUE,80,"x")))))))</f>
        <v/>
      </c>
      <c r="G33" s="82">
        <f>IF(AND(D33&lt;0,E33=0)=TRUE,0.75*D33,IF(AND(D33=0,E33&gt;0)=TRUE,0.25*E33,IF(D33=-E33,0.5*D33,IF(AND(D33=-20,E33=100)=TRUE,0,IF(AND(D33=-35,E33=300)=TRUE,0,IF(AND(D33=-100,E33=160)=TRUE,0,IF(AND(D33=-100,E33=900)=TRUE,0,"x")))))))</f>
        <v/>
      </c>
      <c r="H33" s="82">
        <f>IF(AND(D33&lt;0,E33=0)=TRUE,0.5*D33,IF(AND(D33=0,E33&gt;0)=TRUE,0.5*E33,IF(D33=-E33,0,IF(AND(D33=-20,E33=100)=TRUE,0.33*E33,IF(AND(D33=-35,E33=300)=TRUE,0.33*E33,IF(AND(D33=-100,E33=160)=TRUE,0.33*E33,IF(AND(D33=-100,E33=900)=TRUE,0.33*E33,"x")))))))</f>
        <v/>
      </c>
      <c r="I33" s="82">
        <f>IF(AND(D33&lt;0,E33=0)=TRUE,0.25*D33,IF(AND(D33=0,E33&gt;0)=TRUE,0.75*E33,IF(D33=-E33,0.5*E33,IF(AND(D33=-20,E33=100)=TRUE,0.66*E33,IF(AND(D33=-35,E33=300)=TRUE,0.66*E33,IF(AND(D33=-100,E33=160)=TRUE,0.66*E33,IF(AND(D33=-100,E33=900)=TRUE,0.66*E33,"x")))))))</f>
        <v/>
      </c>
      <c r="J33" s="83">
        <f>IF(AND(D33&lt;0,E33=0)=TRUE,0*D33,IF(AND(D33=0,E33&gt;0)=TRUE,0.98*E33,IF(D33=-E33,0.98*E33,IF(AND(D33=-20,E33=100)=TRUE,0.98*E33,IF(AND(D33=-35,E33=300)=TRUE,0.98*E33,IF(AND(D33=-100,E33=160)=TRUE,0.98*E33,IF(AND(D33=-100,E33=900)=TRUE,0.98*E33,"x")))))))</f>
        <v/>
      </c>
      <c r="K33" s="386" t="inlineStr">
        <is>
          <t>Pass</t>
        </is>
      </c>
      <c r="L33" s="387" t="inlineStr">
        <is>
          <t>A</t>
        </is>
      </c>
      <c r="M33" s="84">
        <f>F33</f>
        <v/>
      </c>
      <c r="N33" s="85">
        <f>G33</f>
        <v/>
      </c>
      <c r="O33" s="86">
        <f>H33</f>
        <v/>
      </c>
      <c r="P33" s="85">
        <f>I33</f>
        <v/>
      </c>
      <c r="Q33" s="87">
        <f>J33</f>
        <v/>
      </c>
      <c r="R33" s="388" t="inlineStr">
        <is>
          <t>kPa</t>
        </is>
      </c>
      <c r="S33" s="389">
        <f>IF(D33&lt;E33,(E33-D33)*0.002,"x")</f>
        <v/>
      </c>
      <c r="T33" s="388" t="n">
        <v>3602499</v>
      </c>
      <c r="U33" s="35" t="n"/>
    </row>
    <row r="34" ht="15" customFormat="1" customHeight="1" s="297" thickBot="1">
      <c r="A34" s="38" t="n"/>
      <c r="B34" s="390" t="n"/>
      <c r="C34" s="390" t="n"/>
      <c r="D34" s="390" t="n"/>
      <c r="E34" s="391" t="n"/>
      <c r="F34" s="392" t="n">
        <v>0</v>
      </c>
      <c r="G34" s="393" t="n">
        <v>149.96</v>
      </c>
      <c r="H34" s="393" t="n">
        <v>299.9</v>
      </c>
      <c r="I34" s="393" t="n">
        <v>449.73</v>
      </c>
      <c r="J34" s="394" t="n">
        <v>587.65</v>
      </c>
      <c r="K34" s="390" t="n"/>
      <c r="L34" s="390" t="n"/>
      <c r="M34" s="392" t="n">
        <v>0</v>
      </c>
      <c r="N34" s="393" t="n">
        <v>149.96</v>
      </c>
      <c r="O34" s="393" t="n">
        <v>300.03</v>
      </c>
      <c r="P34" s="393" t="n">
        <v>450</v>
      </c>
      <c r="Q34" s="394" t="n">
        <v>588</v>
      </c>
      <c r="R34" s="390" t="n"/>
      <c r="S34" s="395" t="n"/>
      <c r="T34" s="390" t="n"/>
      <c r="U34" s="35" t="n"/>
    </row>
    <row r="35" ht="15" customFormat="1" customHeight="1" s="297" thickBot="1">
      <c r="A35" s="38" t="n"/>
      <c r="B35" s="247" t="n">
        <v>14</v>
      </c>
      <c r="C35" s="247" t="inlineStr">
        <is>
          <t>PTX 14</t>
        </is>
      </c>
      <c r="D35" s="247" t="n">
        <v>0</v>
      </c>
      <c r="E35" s="385" t="n">
        <v>600</v>
      </c>
      <c r="F35" s="126">
        <f>IF(AND(D35&lt;0,E35=0)=TRUE,0.98*D35,IF(AND(D35=0,E35&gt;0)=TRUE,0,IF(D35=-E35,0.98*D35,IF(AND(D35=-20,E35=100)=TRUE,0.98*D35,IF(AND(D35=-35,E35=300)=TRUE,0.98*D35,IF(AND(D35=-100,E35=160)=TRUE,80,IF(AND(D35=-100,E35=900)=TRUE,80,"x")))))))</f>
        <v/>
      </c>
      <c r="G35" s="82">
        <f>IF(AND(D35&lt;0,E35=0)=TRUE,0.75*D35,IF(AND(D35=0,E35&gt;0)=TRUE,0.25*E35,IF(D35=-E35,0.5*D35,IF(AND(D35=-20,E35=100)=TRUE,0,IF(AND(D35=-35,E35=300)=TRUE,0,IF(AND(D35=-100,E35=160)=TRUE,0,IF(AND(D35=-100,E35=900)=TRUE,0,"x")))))))</f>
        <v/>
      </c>
      <c r="H35" s="82">
        <f>IF(AND(D35&lt;0,E35=0)=TRUE,0.5*D35,IF(AND(D35=0,E35&gt;0)=TRUE,0.5*E35,IF(D35=-E35,0,IF(AND(D35=-20,E35=100)=TRUE,0.33*E35,IF(AND(D35=-35,E35=300)=TRUE,0.33*E35,IF(AND(D35=-100,E35=160)=TRUE,0.33*E35,IF(AND(D35=-100,E35=900)=TRUE,0.33*E35,"x")))))))</f>
        <v/>
      </c>
      <c r="I35" s="82">
        <f>IF(AND(D35&lt;0,E35=0)=TRUE,0.25*D35,IF(AND(D35=0,E35&gt;0)=TRUE,0.75*E35,IF(D35=-E35,0.5*E35,IF(AND(D35=-20,E35=100)=TRUE,0.66*E35,IF(AND(D35=-35,E35=300)=TRUE,0.66*E35,IF(AND(D35=-100,E35=160)=TRUE,0.66*E35,IF(AND(D35=-100,E35=900)=TRUE,0.66*E35,"x")))))))</f>
        <v/>
      </c>
      <c r="J35" s="83">
        <f>IF(AND(D35&lt;0,E35=0)=TRUE,0*D35,IF(AND(D35=0,E35&gt;0)=TRUE,0.98*E35,IF(D35=-E35,0.98*E35,IF(AND(D35=-20,E35=100)=TRUE,0.98*E35,IF(AND(D35=-35,E35=300)=TRUE,0.98*E35,IF(AND(D35=-100,E35=160)=TRUE,0.98*E35,IF(AND(D35=-100,E35=900)=TRUE,0.98*E35,"x")))))))</f>
        <v/>
      </c>
      <c r="K35" s="386" t="inlineStr">
        <is>
          <t>Pass</t>
        </is>
      </c>
      <c r="L35" s="387" t="inlineStr">
        <is>
          <t>A</t>
        </is>
      </c>
      <c r="M35" s="84">
        <f>F35</f>
        <v/>
      </c>
      <c r="N35" s="85">
        <f>G35</f>
        <v/>
      </c>
      <c r="O35" s="86">
        <f>H35</f>
        <v/>
      </c>
      <c r="P35" s="85">
        <f>I35</f>
        <v/>
      </c>
      <c r="Q35" s="87">
        <f>J35</f>
        <v/>
      </c>
      <c r="R35" s="388" t="inlineStr">
        <is>
          <t>kPa</t>
        </is>
      </c>
      <c r="S35" s="389">
        <f>IF(D35&lt;E35,(E35-D35)*0.002,"x")</f>
        <v/>
      </c>
      <c r="T35" s="388" t="inlineStr">
        <is>
          <t>Y02020/11</t>
        </is>
      </c>
      <c r="U35" s="35" t="n"/>
    </row>
    <row r="36" ht="15" customFormat="1" customHeight="1" s="297" thickBot="1">
      <c r="A36" s="38" t="n"/>
      <c r="B36" s="390" t="n"/>
      <c r="C36" s="390" t="n"/>
      <c r="D36" s="390" t="n"/>
      <c r="E36" s="391" t="n"/>
      <c r="F36" s="392" t="n">
        <v>0</v>
      </c>
      <c r="G36" s="393" t="n">
        <v>150.05</v>
      </c>
      <c r="H36" s="393" t="n">
        <v>300.15</v>
      </c>
      <c r="I36" s="393" t="n">
        <v>450.26</v>
      </c>
      <c r="J36" s="394" t="n">
        <v>588.3099999999999</v>
      </c>
      <c r="K36" s="390" t="n"/>
      <c r="L36" s="390" t="n"/>
      <c r="M36" s="392" t="n">
        <v>0</v>
      </c>
      <c r="N36" s="393" t="n">
        <v>149.92</v>
      </c>
      <c r="O36" s="393" t="n">
        <v>300.03</v>
      </c>
      <c r="P36" s="393" t="n">
        <v>450.11</v>
      </c>
      <c r="Q36" s="394" t="n">
        <v>588.03</v>
      </c>
      <c r="R36" s="390" t="n"/>
      <c r="S36" s="395" t="n"/>
      <c r="T36" s="390" t="n"/>
      <c r="U36" s="35" t="n"/>
    </row>
    <row r="37" ht="15" customFormat="1" customHeight="1" s="297" thickBot="1">
      <c r="A37" s="38" t="n"/>
      <c r="B37" s="247" t="n">
        <v>15</v>
      </c>
      <c r="C37" s="247" t="inlineStr">
        <is>
          <t>PTX 15</t>
        </is>
      </c>
      <c r="D37" s="247" t="n">
        <v>0</v>
      </c>
      <c r="E37" s="385" t="n">
        <v>600</v>
      </c>
      <c r="F37" s="126">
        <f>IF(AND(D37&lt;0,E37=0)=TRUE,0.98*D37,IF(AND(D37=0,E37&gt;0)=TRUE,0,IF(D37=-E37,0.98*D37,IF(AND(D37=-20,E37=100)=TRUE,0.98*D37,IF(AND(D37=-35,E37=300)=TRUE,0.98*D37,IF(AND(D37=-100,E37=160)=TRUE,80,IF(AND(D37=-100,E37=900)=TRUE,80,"x")))))))</f>
        <v/>
      </c>
      <c r="G37" s="82">
        <f>IF(AND(D37&lt;0,E37=0)=TRUE,0.75*D37,IF(AND(D37=0,E37&gt;0)=TRUE,0.25*E37,IF(D37=-E37,0.5*D37,IF(AND(D37=-20,E37=100)=TRUE,0,IF(AND(D37=-35,E37=300)=TRUE,0,IF(AND(D37=-100,E37=160)=TRUE,0,IF(AND(D37=-100,E37=900)=TRUE,0,"x")))))))</f>
        <v/>
      </c>
      <c r="H37" s="82">
        <f>IF(AND(D37&lt;0,E37=0)=TRUE,0.5*D37,IF(AND(D37=0,E37&gt;0)=TRUE,0.5*E37,IF(D37=-E37,0,IF(AND(D37=-20,E37=100)=TRUE,0.33*E37,IF(AND(D37=-35,E37=300)=TRUE,0.33*E37,IF(AND(D37=-100,E37=160)=TRUE,0.33*E37,IF(AND(D37=-100,E37=900)=TRUE,0.33*E37,"x")))))))</f>
        <v/>
      </c>
      <c r="I37" s="82">
        <f>IF(AND(D37&lt;0,E37=0)=TRUE,0.25*D37,IF(AND(D37=0,E37&gt;0)=TRUE,0.75*E37,IF(D37=-E37,0.5*E37,IF(AND(D37=-20,E37=100)=TRUE,0.66*E37,IF(AND(D37=-35,E37=300)=TRUE,0.66*E37,IF(AND(D37=-100,E37=160)=TRUE,0.66*E37,IF(AND(D37=-100,E37=900)=TRUE,0.66*E37,"x")))))))</f>
        <v/>
      </c>
      <c r="J37" s="83">
        <f>IF(AND(D37&lt;0,E37=0)=TRUE,0*D37,IF(AND(D37=0,E37&gt;0)=TRUE,0.98*E37,IF(D37=-E37,0.98*E37,IF(AND(D37=-20,E37=100)=TRUE,0.98*E37,IF(AND(D37=-35,E37=300)=TRUE,0.98*E37,IF(AND(D37=-100,E37=160)=TRUE,0.98*E37,IF(AND(D37=-100,E37=900)=TRUE,0.98*E37,"x")))))))</f>
        <v/>
      </c>
      <c r="K37" s="386" t="inlineStr">
        <is>
          <t>Pass</t>
        </is>
      </c>
      <c r="L37" s="387" t="inlineStr">
        <is>
          <t>A</t>
        </is>
      </c>
      <c r="M37" s="84">
        <f>F37</f>
        <v/>
      </c>
      <c r="N37" s="85">
        <f>G37</f>
        <v/>
      </c>
      <c r="O37" s="86">
        <f>H37</f>
        <v/>
      </c>
      <c r="P37" s="85">
        <f>I37</f>
        <v/>
      </c>
      <c r="Q37" s="87">
        <f>J37</f>
        <v/>
      </c>
      <c r="R37" s="388" t="inlineStr">
        <is>
          <t>kPa</t>
        </is>
      </c>
      <c r="S37" s="389">
        <f>IF(D37&lt;E37,(E37-D37)*0.002,"x")</f>
        <v/>
      </c>
      <c r="T37" s="388" t="inlineStr">
        <is>
          <t>Y21919/12</t>
        </is>
      </c>
      <c r="U37" s="35" t="n"/>
    </row>
    <row r="38" ht="15" customFormat="1" customHeight="1" s="297" thickBot="1">
      <c r="A38" s="38" t="n"/>
      <c r="B38" s="390" t="n"/>
      <c r="C38" s="390" t="n"/>
      <c r="D38" s="390" t="n"/>
      <c r="E38" s="391" t="n"/>
      <c r="F38" s="392" t="n">
        <v>0</v>
      </c>
      <c r="G38" s="393" t="n">
        <v>149.4</v>
      </c>
      <c r="H38" s="393" t="n">
        <v>299.95</v>
      </c>
      <c r="I38" s="393" t="n">
        <v>449.73</v>
      </c>
      <c r="J38" s="394" t="n">
        <v>588.2</v>
      </c>
      <c r="K38" s="390" t="n"/>
      <c r="L38" s="390" t="n"/>
      <c r="M38" s="392" t="n">
        <v>-0.07000000000000001</v>
      </c>
      <c r="N38" s="393" t="n">
        <v>149.96</v>
      </c>
      <c r="O38" s="393" t="n">
        <v>300</v>
      </c>
      <c r="P38" s="393" t="n">
        <v>449.92</v>
      </c>
      <c r="Q38" s="394" t="n">
        <v>588</v>
      </c>
      <c r="R38" s="390" t="n"/>
      <c r="S38" s="395" t="n"/>
      <c r="T38" s="390" t="n"/>
      <c r="U38" s="35" t="n"/>
    </row>
    <row r="39" ht="15" customFormat="1" customHeight="1" s="297" thickBot="1">
      <c r="A39" s="38" t="n"/>
      <c r="B39" s="247" t="n">
        <v>16</v>
      </c>
      <c r="C39" s="247" t="inlineStr">
        <is>
          <t>PTX 16</t>
        </is>
      </c>
      <c r="D39" s="247" t="n">
        <v>-35</v>
      </c>
      <c r="E39" s="385" t="n">
        <v>35</v>
      </c>
      <c r="F39" s="126">
        <f>IF(AND(D39&lt;0,E39=0)=TRUE,0.98*D39,IF(AND(D39=0,E39&gt;0)=TRUE,0,IF(D39=-E39,0.98*D39,IF(AND(D39=-20,E39=100)=TRUE,0.98*D39,IF(AND(D39=-35,E39=300)=TRUE,0.98*D39,IF(AND(D39=-100,E39=160)=TRUE,80,IF(AND(D39=-100,E39=900)=TRUE,80,"x")))))))</f>
        <v/>
      </c>
      <c r="G39" s="82">
        <f>IF(AND(D39&lt;0,E39=0)=TRUE,0.75*D39,IF(AND(D39=0,E39&gt;0)=TRUE,0.25*E39,IF(D39=-E39,0.5*D39,IF(AND(D39=-20,E39=100)=TRUE,0,IF(AND(D39=-35,E39=300)=TRUE,0,IF(AND(D39=-100,E39=160)=TRUE,0,IF(AND(D39=-100,E39=900)=TRUE,0,"x")))))))</f>
        <v/>
      </c>
      <c r="H39" s="82">
        <f>IF(AND(D39&lt;0,E39=0)=TRUE,0.5*D39,IF(AND(D39=0,E39&gt;0)=TRUE,0.5*E39,IF(D39=-E39,0,IF(AND(D39=-20,E39=100)=TRUE,0.33*E39,IF(AND(D39=-35,E39=300)=TRUE,0.33*E39,IF(AND(D39=-100,E39=160)=TRUE,0.33*E39,IF(AND(D39=-100,E39=900)=TRUE,0.33*E39,"x")))))))</f>
        <v/>
      </c>
      <c r="I39" s="82">
        <f>IF(AND(D39&lt;0,E39=0)=TRUE,0.25*D39,IF(AND(D39=0,E39&gt;0)=TRUE,0.75*E39,IF(D39=-E39,0.5*E39,IF(AND(D39=-20,E39=100)=TRUE,0.66*E39,IF(AND(D39=-35,E39=300)=TRUE,0.66*E39,IF(AND(D39=-100,E39=160)=TRUE,0.66*E39,IF(AND(D39=-100,E39=900)=TRUE,0.66*E39,"x")))))))</f>
        <v/>
      </c>
      <c r="J39" s="83">
        <f>IF(AND(D39&lt;0,E39=0)=TRUE,0*D39,IF(AND(D39=0,E39&gt;0)=TRUE,0.98*E39,IF(D39=-E39,0.98*E39,IF(AND(D39=-20,E39=100)=TRUE,0.98*E39,IF(AND(D39=-35,E39=300)=TRUE,0.98*E39,IF(AND(D39=-100,E39=160)=TRUE,0.98*E39,IF(AND(D39=-100,E39=900)=TRUE,0.98*E39,"x")))))))</f>
        <v/>
      </c>
      <c r="K39" s="386" t="inlineStr">
        <is>
          <t>Fail</t>
        </is>
      </c>
      <c r="L39" s="387" t="inlineStr">
        <is>
          <t>A</t>
        </is>
      </c>
      <c r="M39" s="84">
        <f>F39</f>
        <v/>
      </c>
      <c r="N39" s="85">
        <f>G39</f>
        <v/>
      </c>
      <c r="O39" s="86">
        <f>H39</f>
        <v/>
      </c>
      <c r="P39" s="85">
        <f>I39</f>
        <v/>
      </c>
      <c r="Q39" s="87">
        <f>J39</f>
        <v/>
      </c>
      <c r="R39" s="388" t="inlineStr">
        <is>
          <t>kPa</t>
        </is>
      </c>
      <c r="S39" s="389">
        <f>IF(D39&lt;E39,(E39-D39)*0.002,"x")</f>
        <v/>
      </c>
      <c r="T39" s="388" t="inlineStr">
        <is>
          <t>2490719/2006</t>
        </is>
      </c>
      <c r="U39" s="35" t="n"/>
    </row>
    <row r="40" ht="15" customFormat="1" customHeight="1" s="297" thickBot="1">
      <c r="A40" s="38" t="n"/>
      <c r="B40" s="390" t="n"/>
      <c r="C40" s="390" t="n"/>
      <c r="D40" s="390" t="n"/>
      <c r="E40" s="391" t="n"/>
      <c r="F40" s="392" t="n">
        <v>-34.42</v>
      </c>
      <c r="G40" s="393" t="n">
        <v>-17.65</v>
      </c>
      <c r="H40" s="393" t="n">
        <v>-0.16</v>
      </c>
      <c r="I40" s="393" t="n">
        <v>17.54</v>
      </c>
      <c r="J40" s="394" t="n">
        <v>34.38</v>
      </c>
      <c r="K40" s="390" t="n"/>
      <c r="L40" s="390" t="n"/>
      <c r="M40" s="392" t="n">
        <v>-34.27</v>
      </c>
      <c r="N40" s="392" t="n">
        <v>-17.5</v>
      </c>
      <c r="O40" s="392" t="n">
        <v>0</v>
      </c>
      <c r="P40" s="392" t="n">
        <v>17.5</v>
      </c>
      <c r="Q40" s="392" t="n">
        <v>34.31</v>
      </c>
      <c r="R40" s="390" t="n"/>
      <c r="S40" s="395" t="n"/>
      <c r="T40" s="390" t="n"/>
      <c r="U40" s="35" t="n"/>
    </row>
    <row r="41" ht="15" customFormat="1" customHeight="1" s="297" thickBot="1">
      <c r="A41" s="38" t="n"/>
      <c r="B41" s="247" t="n">
        <v>17</v>
      </c>
      <c r="C41" s="247" t="inlineStr">
        <is>
          <t>PTX 17</t>
        </is>
      </c>
      <c r="D41" s="247" t="n">
        <v>-35</v>
      </c>
      <c r="E41" s="385" t="n">
        <v>35</v>
      </c>
      <c r="F41" s="126">
        <f>IF(AND(D41&lt;0,E41=0)=TRUE,0.98*D41,IF(AND(D41=0,E41&gt;0)=TRUE,0,IF(D41=-E41,0.98*D41,IF(AND(D41=-20,E41=100)=TRUE,0.98*D41,IF(AND(D41=-35,E41=300)=TRUE,0.98*D41,IF(AND(D41=-100,E41=160)=TRUE,80,IF(AND(D41=-100,E41=900)=TRUE,80,"x")))))))</f>
        <v/>
      </c>
      <c r="G41" s="82">
        <f>IF(AND(D41&lt;0,E41=0)=TRUE,0.75*D41,IF(AND(D41=0,E41&gt;0)=TRUE,0.25*E41,IF(D41=-E41,0.5*D41,IF(AND(D41=-20,E41=100)=TRUE,0,IF(AND(D41=-35,E41=300)=TRUE,0,IF(AND(D41=-100,E41=160)=TRUE,0,IF(AND(D41=-100,E41=900)=TRUE,0,"x")))))))</f>
        <v/>
      </c>
      <c r="H41" s="82">
        <f>IF(AND(D41&lt;0,E41=0)=TRUE,0.5*D41,IF(AND(D41=0,E41&gt;0)=TRUE,0.5*E41,IF(D41=-E41,0,IF(AND(D41=-20,E41=100)=TRUE,0.33*E41,IF(AND(D41=-35,E41=300)=TRUE,0.33*E41,IF(AND(D41=-100,E41=160)=TRUE,0.33*E41,IF(AND(D41=-100,E41=900)=TRUE,0.33*E41,"x")))))))</f>
        <v/>
      </c>
      <c r="I41" s="82">
        <f>IF(AND(D41&lt;0,E41=0)=TRUE,0.25*D41,IF(AND(D41=0,E41&gt;0)=TRUE,0.75*E41,IF(D41=-E41,0.5*E41,IF(AND(D41=-20,E41=100)=TRUE,0.66*E41,IF(AND(D41=-35,E41=300)=TRUE,0.66*E41,IF(AND(D41=-100,E41=160)=TRUE,0.66*E41,IF(AND(D41=-100,E41=900)=TRUE,0.66*E41,"x")))))))</f>
        <v/>
      </c>
      <c r="J41" s="83">
        <f>IF(AND(D41&lt;0,E41=0)=TRUE,0*D41,IF(AND(D41=0,E41&gt;0)=TRUE,0.98*E41,IF(D41=-E41,0.98*E41,IF(AND(D41=-20,E41=100)=TRUE,0.98*E41,IF(AND(D41=-35,E41=300)=TRUE,0.98*E41,IF(AND(D41=-100,E41=160)=TRUE,0.98*E41,IF(AND(D41=-100,E41=900)=TRUE,0.98*E41,"x")))))))</f>
        <v/>
      </c>
      <c r="K41" s="386" t="inlineStr">
        <is>
          <t>Pass</t>
        </is>
      </c>
      <c r="L41" s="387" t="inlineStr">
        <is>
          <t>A</t>
        </is>
      </c>
      <c r="M41" s="84">
        <f>F41</f>
        <v/>
      </c>
      <c r="N41" s="85">
        <f>G41</f>
        <v/>
      </c>
      <c r="O41" s="86">
        <f>H41</f>
        <v/>
      </c>
      <c r="P41" s="85">
        <f>I41</f>
        <v/>
      </c>
      <c r="Q41" s="87">
        <f>J41</f>
        <v/>
      </c>
      <c r="R41" s="388" t="inlineStr">
        <is>
          <t>kPa</t>
        </is>
      </c>
      <c r="S41" s="389">
        <f>IF(D41&lt;E41,(E41-D41)*0.002,"x")</f>
        <v/>
      </c>
      <c r="T41" s="388" t="inlineStr">
        <is>
          <t>249076/2006</t>
        </is>
      </c>
      <c r="U41" s="35" t="n"/>
    </row>
    <row r="42" ht="15" customFormat="1" customHeight="1" s="297" thickBot="1">
      <c r="A42" s="38" t="n"/>
      <c r="B42" s="390" t="n"/>
      <c r="C42" s="390" t="n"/>
      <c r="D42" s="390" t="n"/>
      <c r="E42" s="391" t="n"/>
      <c r="F42" s="392" t="n">
        <v>-34.34</v>
      </c>
      <c r="G42" s="393" t="n">
        <v>-17.54</v>
      </c>
      <c r="H42" s="393" t="n">
        <v>0</v>
      </c>
      <c r="I42" s="393" t="n">
        <v>17.52</v>
      </c>
      <c r="J42" s="394" t="n">
        <v>34.4</v>
      </c>
      <c r="K42" s="390" t="n"/>
      <c r="L42" s="390" t="n"/>
      <c r="M42" s="392" t="n">
        <v>-34.3</v>
      </c>
      <c r="N42" s="393" t="n">
        <v>-17.49</v>
      </c>
      <c r="O42" s="393" t="n">
        <v>0.01</v>
      </c>
      <c r="P42" s="393" t="n">
        <v>17.49</v>
      </c>
      <c r="Q42" s="394" t="n">
        <v>34.3</v>
      </c>
      <c r="R42" s="390" t="n"/>
      <c r="S42" s="395" t="n"/>
      <c r="T42" s="390" t="n"/>
      <c r="U42" s="35" t="n"/>
    </row>
    <row r="43" ht="15" customFormat="1" customHeight="1" s="297" thickBot="1">
      <c r="A43" s="38" t="n"/>
      <c r="B43" s="247" t="n">
        <v>18</v>
      </c>
      <c r="C43" s="247" t="inlineStr">
        <is>
          <t>PTX 18</t>
        </is>
      </c>
      <c r="D43" s="247" t="n">
        <v>-35</v>
      </c>
      <c r="E43" s="385" t="n">
        <v>35</v>
      </c>
      <c r="F43" s="126">
        <f>IF(AND(D43&lt;0,E43=0)=TRUE,0.98*D43,IF(AND(D43=0,E43&gt;0)=TRUE,0,IF(D43=-E43,0.98*D43,IF(AND(D43=-20,E43=100)=TRUE,0.98*D43,IF(AND(D43=-35,E43=300)=TRUE,0.98*D43,IF(AND(D43=-100,E43=160)=TRUE,80,IF(AND(D43=-100,E43=900)=TRUE,80,"x")))))))</f>
        <v/>
      </c>
      <c r="G43" s="82">
        <f>IF(AND(D43&lt;0,E43=0)=TRUE,0.75*D43,IF(AND(D43=0,E43&gt;0)=TRUE,0.25*E43,IF(D43=-E43,0.5*D43,IF(AND(D43=-20,E43=100)=TRUE,0,IF(AND(D43=-35,E43=300)=TRUE,0,IF(AND(D43=-100,E43=160)=TRUE,0,IF(AND(D43=-100,E43=900)=TRUE,0,"x")))))))</f>
        <v/>
      </c>
      <c r="H43" s="82">
        <f>IF(AND(D43&lt;0,E43=0)=TRUE,0.5*D43,IF(AND(D43=0,E43&gt;0)=TRUE,0.5*E43,IF(D43=-E43,0,IF(AND(D43=-20,E43=100)=TRUE,0.33*E43,IF(AND(D43=-35,E43=300)=TRUE,0.33*E43,IF(AND(D43=-100,E43=160)=TRUE,0.33*E43,IF(AND(D43=-100,E43=900)=TRUE,0.33*E43,"x")))))))</f>
        <v/>
      </c>
      <c r="I43" s="82">
        <f>IF(AND(D43&lt;0,E43=0)=TRUE,0.25*D43,IF(AND(D43=0,E43&gt;0)=TRUE,0.75*E43,IF(D43=-E43,0.5*E43,IF(AND(D43=-20,E43=100)=TRUE,0.66*E43,IF(AND(D43=-35,E43=300)=TRUE,0.66*E43,IF(AND(D43=-100,E43=160)=TRUE,0.66*E43,IF(AND(D43=-100,E43=900)=TRUE,0.66*E43,"x")))))))</f>
        <v/>
      </c>
      <c r="J43" s="83">
        <f>IF(AND(D43&lt;0,E43=0)=TRUE,0*D43,IF(AND(D43=0,E43&gt;0)=TRUE,0.98*E43,IF(D43=-E43,0.98*E43,IF(AND(D43=-20,E43=100)=TRUE,0.98*E43,IF(AND(D43=-35,E43=300)=TRUE,0.98*E43,IF(AND(D43=-100,E43=160)=TRUE,0.98*E43,IF(AND(D43=-100,E43=900)=TRUE,0.98*E43,"x")))))))</f>
        <v/>
      </c>
      <c r="K43" s="386" t="inlineStr">
        <is>
          <t>Fail</t>
        </is>
      </c>
      <c r="L43" s="387" t="inlineStr">
        <is>
          <t>A</t>
        </is>
      </c>
      <c r="M43" s="84">
        <f>F43</f>
        <v/>
      </c>
      <c r="N43" s="85">
        <f>G43</f>
        <v/>
      </c>
      <c r="O43" s="86">
        <f>H43</f>
        <v/>
      </c>
      <c r="P43" s="85">
        <f>I43</f>
        <v/>
      </c>
      <c r="Q43" s="87">
        <f>J43</f>
        <v/>
      </c>
      <c r="R43" s="388" t="inlineStr">
        <is>
          <t>kPa</t>
        </is>
      </c>
      <c r="S43" s="389">
        <f>IF(D43&lt;E43,(E43-D43)*0.002,"x")</f>
        <v/>
      </c>
      <c r="T43" s="388" t="n">
        <v>3081621</v>
      </c>
      <c r="U43" s="35" t="n"/>
    </row>
    <row r="44" ht="15" customFormat="1" customHeight="1" s="297" thickBot="1">
      <c r="A44" s="38" t="n"/>
      <c r="B44" s="390" t="n"/>
      <c r="C44" s="390" t="n"/>
      <c r="D44" s="390" t="n"/>
      <c r="E44" s="391" t="n"/>
      <c r="F44" s="392" t="n">
        <v>-34.07</v>
      </c>
      <c r="G44" s="393" t="n">
        <v>-17.18</v>
      </c>
      <c r="H44" s="393" t="n">
        <v>0.45</v>
      </c>
      <c r="I44" s="393" t="n">
        <v>17.62</v>
      </c>
      <c r="J44" s="394" t="n">
        <v>34.66</v>
      </c>
      <c r="K44" s="390" t="n"/>
      <c r="L44" s="390" t="n"/>
      <c r="M44" s="392" t="n">
        <v>-34.3</v>
      </c>
      <c r="N44" s="393" t="n">
        <v>-17.5</v>
      </c>
      <c r="O44" s="393" t="n">
        <v>0</v>
      </c>
      <c r="P44" s="393" t="n">
        <v>17.49</v>
      </c>
      <c r="Q44" s="394" t="n">
        <v>34.3</v>
      </c>
      <c r="R44" s="390" t="n"/>
      <c r="S44" s="395" t="n"/>
      <c r="T44" s="390" t="n"/>
      <c r="U44" s="35" t="n"/>
    </row>
    <row r="45" ht="15" customFormat="1" customHeight="1" s="297" thickBot="1">
      <c r="A45" s="38" t="n"/>
      <c r="B45" s="247" t="n">
        <v>19</v>
      </c>
      <c r="C45" s="247" t="inlineStr">
        <is>
          <t>PTX 19</t>
        </is>
      </c>
      <c r="D45" s="247" t="n">
        <v>0</v>
      </c>
      <c r="E45" s="385" t="n">
        <v>1000</v>
      </c>
      <c r="F45" s="126" t="n">
        <v>0</v>
      </c>
      <c r="G45" s="82">
        <f>IF(AND(D45&lt;0,E45=0)=TRUE,0.75*D45,IF(AND(D45=0,E45&gt;0)=TRUE,0.25*E45,IF(D45=-E45,0.5*D45,IF(AND(D45=-20,E45=100)=TRUE,0,IF(AND(D45=-35,E45=300)=TRUE,0,IF(AND(D45=-100,E45=160)=TRUE,0,IF(AND(D45=-100,E45=900)=TRUE,0,"x")))))))</f>
        <v/>
      </c>
      <c r="H45" s="82">
        <f>IF(AND(D45&lt;0,E45=0)=TRUE,0.5*D45,IF(AND(D45=0,E45&gt;0)=TRUE,0.5*E45,IF(D45=-E45,0,IF(AND(D45=-20,E45=100)=TRUE,0.33*E45,IF(AND(D45=-35,E45=300)=TRUE,0.33*E45,IF(AND(D45=-100,E45=160)=TRUE,0.33*E45,IF(AND(D45=-100,E45=900)=TRUE,0.33*E45,"x")))))))</f>
        <v/>
      </c>
      <c r="I45" s="82">
        <f>IF(AND(D45&lt;0,E45=0)=TRUE,0.25*D45,IF(AND(D45=0,E45&gt;0)=TRUE,0.75*E45,IF(D45=-E45,0.5*E45,IF(AND(D45=-20,E45=100)=TRUE,0.66*E45,IF(AND(D45=-35,E45=300)=TRUE,0.66*E45,IF(AND(D45=-100,E45=160)=TRUE,0.66*E45,IF(AND(D45=-100,E45=900)=TRUE,0.66*E45,"x")))))))</f>
        <v/>
      </c>
      <c r="J45" s="83">
        <f>IF(AND(D45&lt;0,E45=0)=TRUE,0*D45,IF(AND(D45=0,E45&gt;0)=TRUE,0.98*E45,IF(D45=-E45,0.98*E45,IF(AND(D45=-20,E45=100)=TRUE,0.98*E45,IF(AND(D45=-35,E45=300)=TRUE,0.98*E45,IF(AND(D45=-100,E45=160)=TRUE,0.98*E45,IF(AND(D45=-100,E45=900)=TRUE,0.98*E45,"x")))))))</f>
        <v/>
      </c>
      <c r="K45" s="386" t="inlineStr">
        <is>
          <t>Pass</t>
        </is>
      </c>
      <c r="L45" s="387" t="inlineStr">
        <is>
          <t>A</t>
        </is>
      </c>
      <c r="M45" s="84">
        <f>F45</f>
        <v/>
      </c>
      <c r="N45" s="85">
        <f>G45</f>
        <v/>
      </c>
      <c r="O45" s="86">
        <f>H45</f>
        <v/>
      </c>
      <c r="P45" s="85">
        <f>I45</f>
        <v/>
      </c>
      <c r="Q45" s="87">
        <f>J45</f>
        <v/>
      </c>
      <c r="R45" s="388" t="inlineStr">
        <is>
          <t>kPa</t>
        </is>
      </c>
      <c r="S45" s="389">
        <f>IF(D45&lt;E45,(E45-D45)*0.002,"x")</f>
        <v/>
      </c>
      <c r="T45" s="388" t="n">
        <v>5724625</v>
      </c>
      <c r="U45" s="35" t="n"/>
    </row>
    <row r="46" ht="15" customFormat="1" customHeight="1" s="297" thickBot="1">
      <c r="A46" s="38" t="n"/>
      <c r="B46" s="390" t="n"/>
      <c r="C46" s="390" t="n"/>
      <c r="D46" s="390" t="n"/>
      <c r="E46" s="391" t="n"/>
      <c r="F46" s="392" t="n">
        <v>0</v>
      </c>
      <c r="G46" s="393" t="n">
        <v>250.14</v>
      </c>
      <c r="H46" s="393" t="n">
        <v>500.22</v>
      </c>
      <c r="I46" s="393" t="n">
        <v>750.39</v>
      </c>
      <c r="J46" s="394" t="n">
        <v>980.5</v>
      </c>
      <c r="K46" s="390" t="n"/>
      <c r="L46" s="390" t="n"/>
      <c r="M46" s="392" t="n">
        <v>0</v>
      </c>
      <c r="N46" s="393" t="n">
        <v>249.8</v>
      </c>
      <c r="O46" s="393" t="n">
        <v>499.87</v>
      </c>
      <c r="P46" s="393" t="n">
        <v>749.8</v>
      </c>
      <c r="Q46" s="394" t="n">
        <v>980</v>
      </c>
      <c r="R46" s="390" t="n"/>
      <c r="S46" s="395" t="n"/>
      <c r="T46" s="390" t="n"/>
      <c r="U46" s="35" t="n"/>
    </row>
    <row r="47" ht="15" customFormat="1" customHeight="1" s="297" thickBot="1">
      <c r="A47" s="38" t="n"/>
      <c r="B47" s="247" t="n">
        <v>20</v>
      </c>
      <c r="C47" s="247" t="inlineStr">
        <is>
          <t>PTX 20</t>
        </is>
      </c>
      <c r="D47" s="247" t="n">
        <v>0</v>
      </c>
      <c r="E47" s="385" t="n">
        <v>600</v>
      </c>
      <c r="F47" s="126">
        <f>IF(AND(D47&lt;0,E47=0)=TRUE,0.98*D47,IF(AND(D47=0,E47&gt;0)=TRUE,0,IF(D47=-E47,0.98*D47,IF(AND(D47=-20,E47=100)=TRUE,0.98*D47,IF(AND(D47=-35,E47=300)=TRUE,0.98*D47,IF(AND(D47=-100,E47=160)=TRUE,80,IF(AND(D47=-100,E47=900)=TRUE,80,"x")))))))</f>
        <v/>
      </c>
      <c r="G47" s="82">
        <f>IF(AND(D47&lt;0,E47=0)=TRUE,0.75*D47,IF(AND(D47=0,E47&gt;0)=TRUE,0.25*E47,IF(D47=-E47,0.5*D47,IF(AND(D47=-20,E47=100)=TRUE,0,IF(AND(D47=-35,E47=300)=TRUE,0,IF(AND(D47=-100,E47=160)=TRUE,0,IF(AND(D47=-100,E47=900)=TRUE,0,"x")))))))</f>
        <v/>
      </c>
      <c r="H47" s="82">
        <f>IF(AND(D47&lt;0,E47=0)=TRUE,0.5*D47,IF(AND(D47=0,E47&gt;0)=TRUE,0.5*E47,IF(D47=-E47,0,IF(AND(D47=-20,E47=100)=TRUE,0.33*E47,IF(AND(D47=-35,E47=300)=TRUE,0.33*E47,IF(AND(D47=-100,E47=160)=TRUE,0.33*E47,IF(AND(D47=-100,E47=900)=TRUE,0.33*E47,"x")))))))</f>
        <v/>
      </c>
      <c r="I47" s="82">
        <f>IF(AND(D47&lt;0,E47=0)=TRUE,0.25*D47,IF(AND(D47=0,E47&gt;0)=TRUE,0.75*E47,IF(D47=-E47,0.5*E47,IF(AND(D47=-20,E47=100)=TRUE,0.66*E47,IF(AND(D47=-35,E47=300)=TRUE,0.66*E47,IF(AND(D47=-100,E47=160)=TRUE,0.66*E47,IF(AND(D47=-100,E47=900)=TRUE,0.66*E47,"x")))))))</f>
        <v/>
      </c>
      <c r="J47" s="83">
        <f>IF(AND(D47&lt;0,E47=0)=TRUE,0*D47,IF(AND(D47=0,E47&gt;0)=TRUE,0.98*E47,IF(D47=-E47,0.98*E47,IF(AND(D47=-20,E47=100)=TRUE,0.98*E47,IF(AND(D47=-35,E47=300)=TRUE,0.98*E47,IF(AND(D47=-100,E47=160)=TRUE,0.98*E47,IF(AND(D47=-100,E47=900)=TRUE,0.98*E47,"x")))))))</f>
        <v/>
      </c>
      <c r="K47" s="386" t="inlineStr">
        <is>
          <t>Pass</t>
        </is>
      </c>
      <c r="L47" s="387" t="inlineStr">
        <is>
          <t>A</t>
        </is>
      </c>
      <c r="M47" s="84">
        <f>F47</f>
        <v/>
      </c>
      <c r="N47" s="85">
        <f>G47</f>
        <v/>
      </c>
      <c r="O47" s="86">
        <f>H47</f>
        <v/>
      </c>
      <c r="P47" s="85">
        <f>I47</f>
        <v/>
      </c>
      <c r="Q47" s="87">
        <f>J47</f>
        <v/>
      </c>
      <c r="R47" s="388" t="inlineStr">
        <is>
          <t>kPa</t>
        </is>
      </c>
      <c r="S47" s="389">
        <f>IF(D47&lt;E47,(E47-D47)*0.002,"x")</f>
        <v/>
      </c>
      <c r="T47" s="388" t="inlineStr">
        <is>
          <t>Y21919/16</t>
        </is>
      </c>
      <c r="U47" s="35" t="n"/>
    </row>
    <row r="48" ht="15" customFormat="1" customHeight="1" s="297" thickBot="1">
      <c r="A48" s="38" t="n"/>
      <c r="B48" s="390" t="n"/>
      <c r="C48" s="390" t="n"/>
      <c r="D48" s="390" t="n"/>
      <c r="E48" s="391" t="n"/>
      <c r="F48" s="392" t="n">
        <v>-0.65</v>
      </c>
      <c r="G48" s="393" t="n">
        <v>149.84</v>
      </c>
      <c r="H48" s="393" t="n">
        <v>300</v>
      </c>
      <c r="I48" s="393" t="n">
        <v>450.07</v>
      </c>
      <c r="J48" s="394" t="n">
        <v>588.22</v>
      </c>
      <c r="K48" s="390" t="n"/>
      <c r="L48" s="390" t="n"/>
      <c r="M48" s="392" t="n">
        <v>0</v>
      </c>
      <c r="N48" s="393" t="n">
        <v>150.03</v>
      </c>
      <c r="O48" s="393" t="n">
        <v>300.03</v>
      </c>
      <c r="P48" s="393" t="n">
        <v>450.03</v>
      </c>
      <c r="Q48" s="394" t="n">
        <v>588.03</v>
      </c>
      <c r="R48" s="390" t="n"/>
      <c r="S48" s="395" t="n"/>
      <c r="T48" s="390" t="n"/>
      <c r="U48" s="35" t="n"/>
    </row>
    <row r="49" ht="15" customFormat="1" customHeight="1" s="297" thickBot="1">
      <c r="A49" s="38" t="n"/>
      <c r="B49" s="9" t="n"/>
      <c r="C49" s="9" t="n"/>
      <c r="D49" s="9" t="n"/>
      <c r="E49" s="9" t="inlineStr">
        <is>
          <t xml:space="preserve">         Pre-Cals. Checked By.</t>
        </is>
      </c>
      <c r="F49" s="377" t="inlineStr">
        <is>
          <t>CD</t>
        </is>
      </c>
      <c r="G49" s="378" t="n"/>
      <c r="H49" s="13" t="n"/>
      <c r="I49" s="13" t="n"/>
      <c r="J49" s="13" t="n"/>
      <c r="K49" s="13" t="n"/>
      <c r="L49" s="13" t="n"/>
      <c r="M49" s="13" t="n"/>
      <c r="N49" s="13" t="n"/>
      <c r="O49" s="13" t="n"/>
      <c r="P49" s="13" t="n"/>
      <c r="Q49" s="13" t="n"/>
      <c r="R49" s="13" t="n"/>
      <c r="S49" s="13" t="n"/>
      <c r="T49" s="13" t="n"/>
      <c r="U49" s="35" t="n"/>
    </row>
    <row r="50" ht="15" customFormat="1" customHeight="1" s="297">
      <c r="A50" s="38" t="n"/>
      <c r="B50" s="22" t="n"/>
      <c r="C50" s="13" t="n"/>
      <c r="D50" s="13" t="n"/>
      <c r="E50" s="13" t="n"/>
      <c r="F50" s="13" t="n"/>
      <c r="G50" s="9" t="n"/>
      <c r="H50" s="9" t="n"/>
      <c r="I50" s="9" t="n"/>
      <c r="J50" s="9" t="n"/>
      <c r="K50" s="9" t="n"/>
      <c r="L50" s="12" t="n"/>
      <c r="M50" s="13" t="n"/>
      <c r="N50" s="396" t="n"/>
      <c r="O50" s="396" t="n"/>
      <c r="P50" s="13" t="n"/>
      <c r="Q50" s="13" t="n"/>
      <c r="R50" s="13" t="n"/>
      <c r="S50" s="13" t="n"/>
      <c r="T50" s="13" t="n"/>
      <c r="U50" s="35" t="n"/>
    </row>
    <row r="51" ht="15" customFormat="1" customHeight="1" s="297" thickBot="1">
      <c r="A51" s="38" t="n"/>
      <c r="B51" s="22" t="n"/>
      <c r="C51" s="9" t="n"/>
      <c r="D51" s="9" t="n"/>
      <c r="E51" s="9" t="inlineStr">
        <is>
          <t xml:space="preserve">Pressure Calibrator Used. </t>
        </is>
      </c>
      <c r="F51" s="256" t="inlineStr">
        <is>
          <t>DEVT No.</t>
        </is>
      </c>
      <c r="G51" s="397" t="n"/>
      <c r="H51" s="256" t="inlineStr">
        <is>
          <t>Make / Model</t>
        </is>
      </c>
      <c r="I51" s="397" t="n"/>
      <c r="J51" s="397" t="n"/>
      <c r="K51" s="256" t="inlineStr">
        <is>
          <t>Serial Number</t>
        </is>
      </c>
      <c r="L51" s="397" t="n"/>
      <c r="M51" s="397" t="n"/>
      <c r="N51" s="256" t="inlineStr">
        <is>
          <t>Calibration Next Due</t>
        </is>
      </c>
      <c r="O51" s="397" t="n"/>
      <c r="P51" s="397" t="n"/>
      <c r="Q51" s="13" t="n"/>
      <c r="R51" s="13" t="n"/>
      <c r="S51" s="13" t="n"/>
      <c r="T51" s="13" t="n"/>
      <c r="U51" s="35" t="n"/>
    </row>
    <row r="52" ht="15" customFormat="1" customHeight="1" s="297">
      <c r="A52" s="38" t="n"/>
      <c r="B52" s="22" t="n"/>
      <c r="C52" s="13" t="n"/>
      <c r="D52" s="13" t="n"/>
      <c r="E52" s="88" t="inlineStr">
        <is>
          <t xml:space="preserve">Range A. </t>
        </is>
      </c>
      <c r="F52" s="398">
        <f>[2]Title!D12</f>
        <v/>
      </c>
      <c r="G52" s="399" t="n"/>
      <c r="H52" s="400">
        <f>[2]Title!E12</f>
        <v/>
      </c>
      <c r="I52" s="401" t="n"/>
      <c r="J52" s="399" t="n"/>
      <c r="K52" s="402">
        <f>[2]Title!F12</f>
        <v/>
      </c>
      <c r="L52" s="401" t="n"/>
      <c r="M52" s="399" t="n"/>
      <c r="N52" s="403">
        <f>[2]Title!G12</f>
        <v/>
      </c>
      <c r="O52" s="401" t="n"/>
      <c r="P52" s="404" t="n"/>
      <c r="Q52" s="396" t="n"/>
      <c r="R52" s="396" t="inlineStr">
        <is>
          <t>Where</t>
        </is>
      </c>
      <c r="S52" s="89" t="inlineStr">
        <is>
          <t>set point</t>
        </is>
      </c>
      <c r="T52" s="13" t="inlineStr">
        <is>
          <t>are the</t>
        </is>
      </c>
      <c r="U52" s="35" t="n"/>
    </row>
    <row r="53" ht="15" customFormat="1" customHeight="1" s="297">
      <c r="A53" s="38" t="n"/>
      <c r="B53" s="22" t="n"/>
      <c r="C53" s="13" t="n"/>
      <c r="D53" s="13" t="n"/>
      <c r="E53" s="88" t="inlineStr">
        <is>
          <t xml:space="preserve">Range B. </t>
        </is>
      </c>
      <c r="F53" s="405" t="n"/>
      <c r="G53" s="406" t="n"/>
      <c r="H53" s="407" t="n"/>
      <c r="I53" s="408" t="n"/>
      <c r="J53" s="406" t="n"/>
      <c r="K53" s="409" t="n"/>
      <c r="L53" s="408" t="n"/>
      <c r="M53" s="406" t="n"/>
      <c r="N53" s="410" t="n"/>
      <c r="O53" s="408" t="n"/>
      <c r="P53" s="411" t="n"/>
      <c r="Q53" s="13" t="n"/>
      <c r="R53" s="13" t="n"/>
      <c r="S53" s="22" t="inlineStr">
        <is>
          <t>calibration points.</t>
        </is>
      </c>
      <c r="T53" s="12" t="n"/>
      <c r="U53" s="35" t="n"/>
    </row>
    <row r="54" ht="15" customFormat="1" customHeight="1" s="297" thickBot="1">
      <c r="A54" s="38" t="n"/>
      <c r="B54" s="22" t="n"/>
      <c r="C54" s="13" t="n"/>
      <c r="D54" s="13" t="n"/>
      <c r="E54" s="88" t="inlineStr">
        <is>
          <t xml:space="preserve">Range C. </t>
        </is>
      </c>
      <c r="F54" s="412" t="n"/>
      <c r="G54" s="413" t="n"/>
      <c r="H54" s="414" t="n"/>
      <c r="I54" s="415" t="n"/>
      <c r="J54" s="413" t="n"/>
      <c r="K54" s="416" t="n"/>
      <c r="L54" s="415" t="n"/>
      <c r="M54" s="413" t="n"/>
      <c r="N54" s="417" t="n"/>
      <c r="O54" s="415" t="n"/>
      <c r="P54" s="418" t="n"/>
      <c r="Q54" s="9" t="n"/>
      <c r="R54" s="9" t="n"/>
      <c r="S54" s="13" t="n"/>
      <c r="T54" s="13" t="n"/>
      <c r="U54" s="35" t="n"/>
    </row>
    <row r="55" ht="15" customFormat="1" customHeight="1" s="297" thickBot="1">
      <c r="A55" s="90" t="n"/>
      <c r="B55" s="91" t="n"/>
      <c r="C55" s="91" t="n"/>
      <c r="D55" s="91" t="n"/>
      <c r="E55" s="91" t="n"/>
      <c r="F55" s="91" t="n"/>
      <c r="G55" s="91" t="n"/>
      <c r="H55" s="91" t="n"/>
      <c r="I55" s="91" t="n"/>
      <c r="J55" s="91" t="n"/>
      <c r="K55" s="91" t="n"/>
      <c r="L55" s="91" t="n"/>
      <c r="M55" s="91" t="n"/>
      <c r="N55" s="91" t="n"/>
      <c r="O55" s="91" t="n"/>
      <c r="P55" s="92" t="n"/>
      <c r="Q55" s="91" t="n"/>
      <c r="R55" s="91" t="n"/>
      <c r="S55" s="91" t="n"/>
      <c r="T55" s="91" t="n"/>
      <c r="U55" s="39" t="n"/>
    </row>
    <row r="56" ht="15" customFormat="1" customHeight="1" s="297" thickTop="1">
      <c r="A56" s="31" t="n"/>
      <c r="B56" s="32" t="n"/>
      <c r="C56" s="32" t="n"/>
      <c r="D56" s="32" t="n"/>
      <c r="E56" s="32" t="n"/>
      <c r="F56" s="32" t="n"/>
      <c r="G56" s="32" t="n"/>
      <c r="H56" s="32" t="n"/>
      <c r="I56" s="32" t="n"/>
      <c r="J56" s="45" t="n"/>
      <c r="K56" s="45" t="n"/>
      <c r="L56" s="45" t="n"/>
      <c r="M56" s="45" t="n"/>
      <c r="N56" s="45" t="n"/>
      <c r="O56" s="45" t="n"/>
      <c r="P56" s="45" t="n"/>
      <c r="Q56" s="45" t="n"/>
      <c r="R56" s="45" t="n"/>
      <c r="S56" s="45" t="n"/>
      <c r="T56" s="45" t="n"/>
      <c r="U56" s="75" t="n"/>
    </row>
    <row r="57" ht="15" customFormat="1" customHeight="1" s="297">
      <c r="A57" s="375" t="inlineStr">
        <is>
          <t>Test Bed Pressure Measurement Calibration</t>
        </is>
      </c>
      <c r="B57" s="366" t="n"/>
      <c r="C57" s="366" t="n"/>
      <c r="D57" s="366" t="n"/>
      <c r="E57" s="366" t="n"/>
      <c r="F57" s="366" t="n"/>
      <c r="G57" s="366" t="n"/>
      <c r="H57" s="366" t="n"/>
      <c r="I57" s="366" t="n"/>
      <c r="J57" s="366" t="n"/>
      <c r="K57" s="366" t="n"/>
      <c r="L57" s="366" t="n"/>
      <c r="M57" s="366" t="n"/>
      <c r="N57" s="366" t="n"/>
      <c r="O57" s="366" t="n"/>
      <c r="P57" s="366" t="n"/>
      <c r="Q57" s="366" t="n"/>
      <c r="R57" s="366" t="n"/>
      <c r="S57" s="366" t="n"/>
      <c r="T57" s="366" t="n"/>
      <c r="U57" s="376" t="n"/>
    </row>
    <row r="58" ht="15" customFormat="1" customHeight="1" s="297" thickBot="1">
      <c r="A58" s="33" t="n"/>
      <c r="B58" s="10" t="n"/>
      <c r="C58" s="11" t="n"/>
      <c r="D58" s="11" t="n"/>
      <c r="E58" s="11" t="n"/>
      <c r="F58" s="11" t="n"/>
      <c r="G58" s="11" t="n"/>
      <c r="H58" s="10" t="n"/>
      <c r="I58" s="76" t="n"/>
      <c r="J58" s="10" t="n"/>
      <c r="K58" s="10" t="n"/>
      <c r="L58" s="10" t="n"/>
      <c r="M58" s="10" t="n"/>
      <c r="N58" s="10" t="n"/>
      <c r="O58" s="10" t="n"/>
      <c r="P58" s="10" t="n"/>
      <c r="Q58" s="10" t="n"/>
      <c r="R58" s="10" t="n"/>
      <c r="S58" s="10" t="n"/>
      <c r="T58" s="10" t="n"/>
      <c r="U58" s="34" t="n"/>
    </row>
    <row r="59" ht="15" customFormat="1" customHeight="1" s="297" thickBot="1">
      <c r="A59" s="33" t="n"/>
      <c r="B59" s="9" t="inlineStr">
        <is>
          <t xml:space="preserve">Job No. </t>
        </is>
      </c>
      <c r="C59" s="153">
        <f>Title!C4</f>
        <v/>
      </c>
      <c r="D59" s="23" t="n"/>
      <c r="E59" s="145" t="n"/>
      <c r="F59" s="10" t="n"/>
      <c r="G59" s="9" t="inlineStr">
        <is>
          <t xml:space="preserve">Calibrated By. </t>
        </is>
      </c>
      <c r="H59" s="377">
        <f>Title!C3</f>
        <v/>
      </c>
      <c r="I59" s="378" t="n"/>
      <c r="J59" s="10" t="n"/>
      <c r="K59" s="10" t="n"/>
      <c r="L59" s="9" t="inlineStr">
        <is>
          <t xml:space="preserve">Calibration Date. </t>
        </is>
      </c>
      <c r="M59" s="379">
        <f>Title!C9</f>
        <v/>
      </c>
      <c r="N59" s="380" t="n"/>
      <c r="O59" s="378" t="n"/>
      <c r="P59" s="12" t="n"/>
      <c r="Q59" s="9" t="n"/>
      <c r="R59" s="9" t="inlineStr">
        <is>
          <t xml:space="preserve">Bed No. </t>
        </is>
      </c>
      <c r="S59" s="381">
        <f>Title!F3</f>
        <v/>
      </c>
      <c r="T59" s="378" t="n"/>
      <c r="U59" s="77" t="n"/>
    </row>
    <row r="60" ht="15" customFormat="1" customHeight="1" s="297">
      <c r="A60" s="33" t="n"/>
      <c r="B60" s="10" t="n"/>
      <c r="C60" s="11" t="n"/>
      <c r="D60" s="11" t="n"/>
      <c r="E60" s="11" t="n"/>
      <c r="F60" s="9" t="n"/>
      <c r="G60" s="11" t="n"/>
      <c r="H60" s="9" t="n"/>
      <c r="I60" s="9" t="n"/>
      <c r="J60" s="12" t="n"/>
      <c r="K60" s="12" t="n"/>
      <c r="L60" s="12" t="n"/>
      <c r="M60" s="12" t="n"/>
      <c r="N60" s="10" t="n"/>
      <c r="O60" s="12" t="n"/>
      <c r="P60" s="12" t="n"/>
      <c r="Q60" s="12" t="n"/>
      <c r="R60" s="12" t="n"/>
      <c r="S60" s="12" t="n"/>
      <c r="T60" s="12" t="n"/>
      <c r="U60" s="35" t="n"/>
    </row>
    <row r="61" ht="15" customFormat="1" customHeight="1" s="297">
      <c r="A61" s="36" t="inlineStr">
        <is>
          <t>Acceptable Deviation: 0.2% Full Scale.  Adjust if error &gt;80% accepted tolerance.</t>
        </is>
      </c>
      <c r="B61" s="11" t="n"/>
      <c r="C61" s="11" t="n"/>
      <c r="D61" s="11" t="n"/>
      <c r="E61" s="11" t="n"/>
      <c r="F61" s="11" t="n"/>
      <c r="G61" s="78" t="n"/>
      <c r="H61" s="78" t="n"/>
      <c r="I61" s="78" t="n"/>
      <c r="J61" s="11" t="n"/>
      <c r="K61" s="11" t="n"/>
      <c r="L61" s="11" t="n"/>
      <c r="M61" s="11" t="n"/>
      <c r="N61" s="11" t="n"/>
      <c r="O61" s="11" t="n"/>
      <c r="P61" s="11" t="n"/>
      <c r="Q61" s="11" t="n"/>
      <c r="R61" s="11" t="n"/>
      <c r="S61" s="11" t="n"/>
      <c r="T61" s="11" t="n"/>
      <c r="U61" s="37" t="n"/>
    </row>
    <row r="62" ht="15" customFormat="1" customHeight="1" s="297" thickBot="1">
      <c r="A62" s="33" t="n"/>
      <c r="B62" s="76" t="n"/>
      <c r="C62" s="76" t="n"/>
      <c r="D62" s="76" t="n"/>
      <c r="E62" s="76" t="n"/>
      <c r="F62" s="76" t="n"/>
      <c r="G62" s="76" t="n"/>
      <c r="H62" s="76" t="n"/>
      <c r="I62" s="76" t="n"/>
      <c r="J62" s="76" t="n"/>
      <c r="K62" s="76" t="n"/>
      <c r="L62" s="12" t="n"/>
      <c r="M62" s="12" t="n"/>
      <c r="N62" s="12" t="n"/>
      <c r="O62" s="12" t="n"/>
      <c r="P62" s="12" t="n"/>
      <c r="Q62" s="12" t="n"/>
      <c r="R62" s="12" t="n"/>
      <c r="S62" s="12" t="n"/>
      <c r="T62" s="12" t="n"/>
      <c r="U62" s="35" t="n"/>
    </row>
    <row r="63" ht="15" customFormat="1" customHeight="1" s="297" thickBot="1">
      <c r="A63" s="33" t="n"/>
      <c r="B63" s="24" t="inlineStr">
        <is>
          <t>Channel No.</t>
        </is>
      </c>
      <c r="C63" s="24" t="inlineStr">
        <is>
          <t>Channel Name</t>
        </is>
      </c>
      <c r="D63" s="79" t="inlineStr">
        <is>
          <t>Range Min</t>
        </is>
      </c>
      <c r="E63" s="79" t="inlineStr">
        <is>
          <t>Range Max</t>
        </is>
      </c>
      <c r="F63" s="382" t="inlineStr">
        <is>
          <t>Pre-Calibration Set Points</t>
        </is>
      </c>
      <c r="G63" s="383" t="n"/>
      <c r="H63" s="383" t="n"/>
      <c r="I63" s="383" t="n"/>
      <c r="J63" s="384" t="n"/>
      <c r="K63" s="24" t="inlineStr">
        <is>
          <t>Result</t>
        </is>
      </c>
      <c r="L63" s="80" t="inlineStr">
        <is>
          <t>PC Used</t>
        </is>
      </c>
      <c r="M63" s="382" t="inlineStr">
        <is>
          <t>Post-Calibration Set Points</t>
        </is>
      </c>
      <c r="N63" s="383" t="n"/>
      <c r="O63" s="383" t="n"/>
      <c r="P63" s="383" t="n"/>
      <c r="Q63" s="384" t="n"/>
      <c r="R63" s="24" t="inlineStr">
        <is>
          <t>Units</t>
        </is>
      </c>
      <c r="S63" s="81" t="inlineStr">
        <is>
          <t>Tolerance</t>
        </is>
      </c>
      <c r="T63" s="24" t="inlineStr">
        <is>
          <t>Transducer Serial No.</t>
        </is>
      </c>
      <c r="U63" s="35" t="n"/>
    </row>
    <row r="64" ht="15" customFormat="1" customHeight="1" s="297" thickBot="1">
      <c r="A64" s="33" t="n"/>
      <c r="B64" s="247" t="n">
        <v>21</v>
      </c>
      <c r="C64" s="247" t="inlineStr">
        <is>
          <t>PTX 21</t>
        </is>
      </c>
      <c r="D64" s="247" t="n">
        <v>0</v>
      </c>
      <c r="E64" s="385" t="n">
        <v>1000</v>
      </c>
      <c r="F64" s="126">
        <f>IF(AND(D64&lt;0,E64=0)=TRUE,0.98*D64,IF(AND(D64=0,E64&gt;0)=TRUE,0,IF(D64=-E64,0.98*D64,IF(AND(D64=-20,E64=100)=TRUE,0.98*D64,IF(AND(D64=-35,E64=300)=TRUE,0.98*D64,IF(AND(D64=-100,E64=160)=TRUE,80,IF(AND(D64=-100,E64=900)=TRUE,80,"x")))))))</f>
        <v/>
      </c>
      <c r="G64" s="82">
        <f>IF(AND(D64&lt;0,E64=0)=TRUE,0.75*D64,IF(AND(D64=0,E64&gt;0)=TRUE,0.25*E64,IF(D64=-E64,0.5*D64,IF(AND(D64=-20,E64=100)=TRUE,0,IF(AND(D64=-35,E64=300)=TRUE,0,IF(AND(D64=-100,E64=160)=TRUE,0,IF(AND(D64=-100,E64=900)=TRUE,0,"x")))))))</f>
        <v/>
      </c>
      <c r="H64" s="82">
        <f>IF(AND(D64&lt;0,E64=0)=TRUE,0.5*D64,IF(AND(D64=0,E64&gt;0)=TRUE,0.5*E64,IF(D64=-E64,0,IF(AND(D64=-20,E64=100)=TRUE,0.33*E64,IF(AND(D64=-35,E64=300)=TRUE,0.33*E64,IF(AND(D64=-100,E64=160)=TRUE,0.33*E64,IF(AND(D64=-100,E64=900)=TRUE,0.33*E64,"x")))))))</f>
        <v/>
      </c>
      <c r="I64" s="82">
        <f>IF(AND(D64&lt;0,E64=0)=TRUE,0.25*D64,IF(AND(D64=0,E64&gt;0)=TRUE,0.75*E64,IF(D64=-E64,0.5*E64,IF(AND(D64=-20,E64=100)=TRUE,0.66*E64,IF(AND(D64=-35,E64=300)=TRUE,0.66*E64,IF(AND(D64=-100,E64=160)=TRUE,0.66*E64,IF(AND(D64=-100,E64=900)=TRUE,0.66*E64,"x")))))))</f>
        <v/>
      </c>
      <c r="J64" s="83">
        <f>IF(AND(D64&lt;0,E64=0)=TRUE,0*D64,IF(AND(D64=0,E64&gt;0)=TRUE,0.98*E64,IF(D64=-E64,0.98*E64,IF(AND(D64=-20,E64=100)=TRUE,0.98*E64,IF(AND(D64=-35,E64=300)=TRUE,0.98*E64,IF(AND(D64=-100,E64=160)=TRUE,0.98*E64,IF(AND(D64=-100,E64=900)=TRUE,0.98*E64,"x")))))))</f>
        <v/>
      </c>
      <c r="K64" s="386" t="inlineStr">
        <is>
          <t>Pass</t>
        </is>
      </c>
      <c r="L64" s="387" t="inlineStr">
        <is>
          <t>A</t>
        </is>
      </c>
      <c r="M64" s="84">
        <f>F64</f>
        <v/>
      </c>
      <c r="N64" s="85">
        <f>G64</f>
        <v/>
      </c>
      <c r="O64" s="86">
        <f>H64</f>
        <v/>
      </c>
      <c r="P64" s="85">
        <f>I64</f>
        <v/>
      </c>
      <c r="Q64" s="87">
        <f>J64</f>
        <v/>
      </c>
      <c r="R64" s="388" t="inlineStr">
        <is>
          <t>kPa</t>
        </is>
      </c>
      <c r="S64" s="389">
        <f>IF(D64&lt;E64,(E64-D64)*0.002,"x")</f>
        <v/>
      </c>
      <c r="T64" s="388" t="n"/>
      <c r="U64" s="35" t="n"/>
    </row>
    <row r="65" ht="15" customFormat="1" customHeight="1" s="297" thickBot="1">
      <c r="A65" s="33" t="n"/>
      <c r="B65" s="390" t="n"/>
      <c r="C65" s="390" t="n"/>
      <c r="D65" s="390" t="n"/>
      <c r="E65" s="391" t="n"/>
      <c r="F65" s="392" t="n"/>
      <c r="G65" s="393" t="n"/>
      <c r="H65" s="393" t="n"/>
      <c r="I65" s="393" t="n"/>
      <c r="J65" s="394" t="n"/>
      <c r="K65" s="390" t="n"/>
      <c r="L65" s="390" t="n"/>
      <c r="M65" s="392" t="n"/>
      <c r="N65" s="393" t="n"/>
      <c r="O65" s="393" t="n"/>
      <c r="P65" s="393" t="n"/>
      <c r="Q65" s="394" t="n"/>
      <c r="R65" s="390" t="n"/>
      <c r="S65" s="395" t="n"/>
      <c r="T65" s="390" t="n"/>
      <c r="U65" s="35" t="n"/>
    </row>
    <row r="66" ht="15" customFormat="1" customHeight="1" s="297" thickBot="1">
      <c r="A66" s="33" t="n"/>
      <c r="B66" s="247" t="n">
        <v>22</v>
      </c>
      <c r="C66" s="247" t="inlineStr">
        <is>
          <t>PTX 22</t>
        </is>
      </c>
      <c r="D66" s="247" t="n">
        <v>0</v>
      </c>
      <c r="E66" s="385" t="n">
        <v>1000</v>
      </c>
      <c r="F66" s="126">
        <f>IF(AND(D66&lt;0,E66=0)=TRUE,0.98*D66,IF(AND(D66=0,E66&gt;0)=TRUE,0,IF(D66=-E66,0.98*D66,IF(AND(D66=-20,E66=100)=TRUE,0.98*D66,IF(AND(D66=-35,E66=300)=TRUE,0.98*D66,IF(AND(D66=-100,E66=160)=TRUE,80,IF(AND(D66=-100,E66=900)=TRUE,80,"x")))))))</f>
        <v/>
      </c>
      <c r="G66" s="82">
        <f>IF(AND(D66&lt;0,E66=0)=TRUE,0.75*D66,IF(AND(D66=0,E66&gt;0)=TRUE,0.25*E66,IF(D66=-E66,0.5*D66,IF(AND(D66=-20,E66=100)=TRUE,0,IF(AND(D66=-35,E66=300)=TRUE,0,IF(AND(D66=-100,E66=160)=TRUE,0,IF(AND(D66=-100,E66=900)=TRUE,0,"x")))))))</f>
        <v/>
      </c>
      <c r="H66" s="82">
        <f>IF(AND(D66&lt;0,E66=0)=TRUE,0.5*D66,IF(AND(D66=0,E66&gt;0)=TRUE,0.5*E66,IF(D66=-E66,0,IF(AND(D66=-20,E66=100)=TRUE,0.33*E66,IF(AND(D66=-35,E66=300)=TRUE,0.33*E66,IF(AND(D66=-100,E66=160)=TRUE,0.33*E66,IF(AND(D66=-100,E66=900)=TRUE,0.33*E66,"x")))))))</f>
        <v/>
      </c>
      <c r="I66" s="82">
        <f>IF(AND(D66&lt;0,E66=0)=TRUE,0.25*D66,IF(AND(D66=0,E66&gt;0)=TRUE,0.75*E66,IF(D66=-E66,0.5*E66,IF(AND(D66=-20,E66=100)=TRUE,0.66*E66,IF(AND(D66=-35,E66=300)=TRUE,0.66*E66,IF(AND(D66=-100,E66=160)=TRUE,0.66*E66,IF(AND(D66=-100,E66=900)=TRUE,0.66*E66,"x")))))))</f>
        <v/>
      </c>
      <c r="J66" s="83">
        <f>IF(AND(D66&lt;0,E66=0)=TRUE,0*D66,IF(AND(D66=0,E66&gt;0)=TRUE,0.98*E66,IF(D66=-E66,0.98*E66,IF(AND(D66=-20,E66=100)=TRUE,0.98*E66,IF(AND(D66=-35,E66=300)=TRUE,0.98*E66,IF(AND(D66=-100,E66=160)=TRUE,0.98*E66,IF(AND(D66=-100,E66=900)=TRUE,0.98*E66,"x")))))))</f>
        <v/>
      </c>
      <c r="K66" s="386" t="inlineStr">
        <is>
          <t>Pass</t>
        </is>
      </c>
      <c r="L66" s="387" t="inlineStr">
        <is>
          <t>A</t>
        </is>
      </c>
      <c r="M66" s="84">
        <f>F66</f>
        <v/>
      </c>
      <c r="N66" s="85">
        <f>G66</f>
        <v/>
      </c>
      <c r="O66" s="86">
        <f>H66</f>
        <v/>
      </c>
      <c r="P66" s="85">
        <f>I66</f>
        <v/>
      </c>
      <c r="Q66" s="87">
        <f>J66</f>
        <v/>
      </c>
      <c r="R66" s="388" t="inlineStr">
        <is>
          <t>kPa</t>
        </is>
      </c>
      <c r="S66" s="389">
        <f>IF(D66&lt;E66,(E66-D66)*0.002,"x")</f>
        <v/>
      </c>
      <c r="T66" s="388" t="n">
        <v>5431376</v>
      </c>
      <c r="U66" s="35" t="n"/>
    </row>
    <row r="67" ht="15" customFormat="1" customHeight="1" s="297" thickBot="1">
      <c r="A67" s="33" t="n"/>
      <c r="B67" s="390" t="n"/>
      <c r="C67" s="390" t="n"/>
      <c r="D67" s="390" t="n"/>
      <c r="E67" s="391" t="n"/>
      <c r="F67" s="392" t="n">
        <v>0</v>
      </c>
      <c r="G67" s="393" t="n">
        <v>250.53</v>
      </c>
      <c r="H67" s="393" t="n">
        <v>500.5</v>
      </c>
      <c r="I67" s="393" t="n">
        <v>750.5599999999999</v>
      </c>
      <c r="J67" s="394" t="n">
        <v>980.63</v>
      </c>
      <c r="K67" s="390" t="n"/>
      <c r="L67" s="390" t="n"/>
      <c r="M67" s="392" t="n">
        <v>0</v>
      </c>
      <c r="N67" s="393" t="n">
        <v>250.06</v>
      </c>
      <c r="O67" s="393" t="n">
        <v>500.12</v>
      </c>
      <c r="P67" s="393" t="n">
        <v>750.12</v>
      </c>
      <c r="Q67" s="394" t="n">
        <v>980.1799999999999</v>
      </c>
      <c r="R67" s="390" t="n"/>
      <c r="S67" s="395" t="n"/>
      <c r="T67" s="390" t="n"/>
      <c r="U67" s="35" t="n"/>
    </row>
    <row r="68" ht="15" customFormat="1" customHeight="1" s="297" thickBot="1">
      <c r="A68" s="38" t="n"/>
      <c r="B68" s="247" t="n">
        <v>23</v>
      </c>
      <c r="C68" s="247" t="inlineStr">
        <is>
          <t>PTX 23</t>
        </is>
      </c>
      <c r="D68" s="247" t="n">
        <v>0</v>
      </c>
      <c r="E68" s="385" t="n">
        <v>600</v>
      </c>
      <c r="F68" s="126">
        <f>IF(AND(D68&lt;0,E68=0)=TRUE,0.98*D68,IF(AND(D68=0,E68&gt;0)=TRUE,0,IF(D68=-E68,0.98*D68,IF(AND(D68=-20,E68=100)=TRUE,0.98*D68,IF(AND(D68=-35,E68=300)=TRUE,0.98*D68,IF(AND(D68=-100,E68=160)=TRUE,80,IF(AND(D68=-100,E68=900)=TRUE,80,"x")))))))</f>
        <v/>
      </c>
      <c r="G68" s="82">
        <f>IF(AND(D68&lt;0,E68=0)=TRUE,0.75*D68,IF(AND(D68=0,E68&gt;0)=TRUE,0.25*E68,IF(D68=-E68,0.5*D68,IF(AND(D68=-20,E68=100)=TRUE,0,IF(AND(D68=-35,E68=300)=TRUE,0,IF(AND(D68=-100,E68=160)=TRUE,0,IF(AND(D68=-100,E68=900)=TRUE,0,"x")))))))</f>
        <v/>
      </c>
      <c r="H68" s="82">
        <f>IF(AND(D68&lt;0,E68=0)=TRUE,0.5*D68,IF(AND(D68=0,E68&gt;0)=TRUE,0.5*E68,IF(D68=-E68,0,IF(AND(D68=-20,E68=100)=TRUE,0.33*E68,IF(AND(D68=-35,E68=300)=TRUE,0.33*E68,IF(AND(D68=-100,E68=160)=TRUE,0.33*E68,IF(AND(D68=-100,E68=900)=TRUE,0.33*E68,"x")))))))</f>
        <v/>
      </c>
      <c r="I68" s="82">
        <f>IF(AND(D68&lt;0,E68=0)=TRUE,0.25*D68,IF(AND(D68=0,E68&gt;0)=TRUE,0.75*E68,IF(D68=-E68,0.5*E68,IF(AND(D68=-20,E68=100)=TRUE,0.66*E68,IF(AND(D68=-35,E68=300)=TRUE,0.66*E68,IF(AND(D68=-100,E68=160)=TRUE,0.66*E68,IF(AND(D68=-100,E68=900)=TRUE,0.66*E68,"x")))))))</f>
        <v/>
      </c>
      <c r="J68" s="83">
        <f>IF(AND(D68&lt;0,E68=0)=TRUE,0*D68,IF(AND(D68=0,E68&gt;0)=TRUE,0.98*E68,IF(D68=-E68,0.98*E68,IF(AND(D68=-20,E68=100)=TRUE,0.98*E68,IF(AND(D68=-35,E68=300)=TRUE,0.98*E68,IF(AND(D68=-100,E68=160)=TRUE,0.98*E68,IF(AND(D68=-100,E68=900)=TRUE,0.98*E68,"x")))))))</f>
        <v/>
      </c>
      <c r="K68" s="386" t="inlineStr">
        <is>
          <t>Fail</t>
        </is>
      </c>
      <c r="L68" s="387" t="inlineStr">
        <is>
          <t>A</t>
        </is>
      </c>
      <c r="M68" s="84">
        <f>F68</f>
        <v/>
      </c>
      <c r="N68" s="85">
        <f>G68</f>
        <v/>
      </c>
      <c r="O68" s="86">
        <f>H68</f>
        <v/>
      </c>
      <c r="P68" s="85">
        <f>I68</f>
        <v/>
      </c>
      <c r="Q68" s="87">
        <f>J68</f>
        <v/>
      </c>
      <c r="R68" s="388" t="inlineStr">
        <is>
          <t>kPa</t>
        </is>
      </c>
      <c r="S68" s="389">
        <f>IF(D68&lt;E68,(E68-D68)*0.002,"x")</f>
        <v/>
      </c>
      <c r="T68" s="388" t="inlineStr">
        <is>
          <t>X02289/13</t>
        </is>
      </c>
      <c r="U68" s="35" t="n"/>
    </row>
    <row r="69" ht="15" customFormat="1" customHeight="1" s="297" thickBot="1">
      <c r="A69" s="38" t="n"/>
      <c r="B69" s="390" t="n"/>
      <c r="C69" s="390" t="n"/>
      <c r="D69" s="390" t="n"/>
      <c r="E69" s="391" t="n"/>
      <c r="F69" s="392" t="n">
        <v>0</v>
      </c>
      <c r="G69" s="393" t="n">
        <v>146.52</v>
      </c>
      <c r="H69" s="393" t="n">
        <v>296.78</v>
      </c>
      <c r="I69" s="393" t="n">
        <v>444.03</v>
      </c>
      <c r="J69" s="394" t="n">
        <v>581.15</v>
      </c>
      <c r="K69" s="390" t="n"/>
      <c r="L69" s="390" t="n"/>
      <c r="M69" s="392" t="n">
        <v>0</v>
      </c>
      <c r="N69" s="393" t="n">
        <v>149.91</v>
      </c>
      <c r="O69" s="393" t="n">
        <v>300.04</v>
      </c>
      <c r="P69" s="393" t="n">
        <v>450.08</v>
      </c>
      <c r="Q69" s="394" t="n">
        <v>587.87</v>
      </c>
      <c r="R69" s="390" t="n"/>
      <c r="S69" s="395" t="n"/>
      <c r="T69" s="390" t="n"/>
      <c r="U69" s="35" t="n"/>
    </row>
    <row r="70" ht="15" customFormat="1" customHeight="1" s="297" thickBot="1">
      <c r="A70" s="38" t="n"/>
      <c r="B70" s="247" t="n">
        <v>24</v>
      </c>
      <c r="C70" s="247" t="inlineStr">
        <is>
          <t>PTX 24</t>
        </is>
      </c>
      <c r="D70" s="247" t="n">
        <v>-35</v>
      </c>
      <c r="E70" s="385" t="n">
        <v>300</v>
      </c>
      <c r="F70" s="126">
        <f>IF(AND(D70&lt;0,E70=0)=TRUE,0.98*D70,IF(AND(D70=0,E70&gt;0)=TRUE,0,IF(D70=-E70,0.98*D70,IF(AND(D70=-20,E70=100)=TRUE,0.98*D70,IF(AND(D70=-35,E70=300)=TRUE,0.98*D70,IF(AND(D70=-100,E70=160)=TRUE,80,IF(AND(D70=-100,E70=900)=TRUE,80,"x")))))))</f>
        <v/>
      </c>
      <c r="G70" s="82">
        <f>IF(AND(D70&lt;0,E70=0)=TRUE,0.75*D70,IF(AND(D70=0,E70&gt;0)=TRUE,0.25*E70,IF(D70=-E70,0.5*D70,IF(AND(D70=-20,E70=100)=TRUE,0,IF(AND(D70=-35,E70=300)=TRUE,0,IF(AND(D70=-100,E70=160)=TRUE,0,IF(AND(D70=-100,E70=900)=TRUE,0,"x")))))))</f>
        <v/>
      </c>
      <c r="H70" s="82">
        <f>IF(AND(D70&lt;0,E70=0)=TRUE,0.5*D70,IF(AND(D70=0,E70&gt;0)=TRUE,0.5*E70,IF(D70=-E70,0,IF(AND(D70=-20,E70=100)=TRUE,0.33*E70,IF(AND(D70=-35,E70=300)=TRUE,0.33*E70,IF(AND(D70=-100,E70=160)=TRUE,0.33*E70,IF(AND(D70=-100,E70=900)=TRUE,0.33*E70,"x")))))))</f>
        <v/>
      </c>
      <c r="I70" s="82">
        <f>IF(AND(D70&lt;0,E70=0)=TRUE,0.25*D70,IF(AND(D70=0,E70&gt;0)=TRUE,0.75*E70,IF(D70=-E70,0.5*E70,IF(AND(D70=-20,E70=100)=TRUE,0.66*E70,IF(AND(D70=-35,E70=300)=TRUE,0.66*E70,IF(AND(D70=-100,E70=160)=TRUE,0.66*E70,IF(AND(D70=-100,E70=900)=TRUE,0.66*E70,"x")))))))</f>
        <v/>
      </c>
      <c r="J70" s="83">
        <f>IF(AND(D70&lt;0,E70=0)=TRUE,0*D70,IF(AND(D70=0,E70&gt;0)=TRUE,0.98*E70,IF(D70=-E70,0.98*E70,IF(AND(D70=-20,E70=100)=TRUE,0.98*E70,IF(AND(D70=-35,E70=300)=TRUE,0.98*E70,IF(AND(D70=-100,E70=160)=TRUE,0.98*E70,IF(AND(D70=-100,E70=900)=TRUE,0.98*E70,"x")))))))</f>
        <v/>
      </c>
      <c r="K70" s="386" t="inlineStr">
        <is>
          <t>Pass</t>
        </is>
      </c>
      <c r="L70" s="387" t="inlineStr">
        <is>
          <t>A</t>
        </is>
      </c>
      <c r="M70" s="84">
        <f>F70</f>
        <v/>
      </c>
      <c r="N70" s="85">
        <f>G70</f>
        <v/>
      </c>
      <c r="O70" s="86">
        <f>H70</f>
        <v/>
      </c>
      <c r="P70" s="85">
        <f>I70</f>
        <v/>
      </c>
      <c r="Q70" s="87">
        <f>J70</f>
        <v/>
      </c>
      <c r="R70" s="388" t="inlineStr">
        <is>
          <t>kPa</t>
        </is>
      </c>
      <c r="S70" s="389">
        <f>IF(D70&lt;E70,(E70-D70)*0.002,"x")</f>
        <v/>
      </c>
      <c r="T70" s="388" t="n">
        <v>3481225</v>
      </c>
      <c r="U70" s="35" t="n"/>
    </row>
    <row r="71" ht="15" customFormat="1" customHeight="1" s="297" thickBot="1">
      <c r="A71" s="38" t="n"/>
      <c r="B71" s="390" t="n"/>
      <c r="C71" s="390" t="n"/>
      <c r="D71" s="390" t="n"/>
      <c r="E71" s="391" t="n"/>
      <c r="F71" s="392" t="n">
        <v>-34.8</v>
      </c>
      <c r="G71" s="393" t="n">
        <v>-0.08</v>
      </c>
      <c r="H71" s="393" t="n">
        <v>99.15000000000001</v>
      </c>
      <c r="I71" s="393" t="n">
        <v>198.18</v>
      </c>
      <c r="J71" s="394" t="n">
        <v>294.38</v>
      </c>
      <c r="K71" s="390" t="n"/>
      <c r="L71" s="390" t="n"/>
      <c r="M71" s="392" t="n">
        <v>-34.3</v>
      </c>
      <c r="N71" s="393" t="n">
        <v>-0.02</v>
      </c>
      <c r="O71" s="393" t="n">
        <v>98.95</v>
      </c>
      <c r="P71" s="393" t="n">
        <v>198</v>
      </c>
      <c r="Q71" s="394" t="n">
        <v>293.97</v>
      </c>
      <c r="R71" s="390" t="n"/>
      <c r="S71" s="395" t="n"/>
      <c r="T71" s="390" t="n"/>
      <c r="U71" s="35" t="n"/>
    </row>
    <row r="72" ht="15" customFormat="1" customHeight="1" s="297" thickBot="1">
      <c r="A72" s="38" t="n"/>
      <c r="B72" s="247" t="n">
        <v>25</v>
      </c>
      <c r="C72" s="247" t="inlineStr">
        <is>
          <t>PTX 25</t>
        </is>
      </c>
      <c r="D72" s="247" t="n">
        <v>0</v>
      </c>
      <c r="E72" s="385" t="n">
        <v>300</v>
      </c>
      <c r="F72" s="126">
        <f>IF(AND(D72&lt;0,E72=0)=TRUE,0.98*D72,IF(AND(D72=0,E72&gt;0)=TRUE,0,IF(D72=-E72,0.98*D72,IF(AND(D72=-20,E72=100)=TRUE,0.98*D72,IF(AND(D72=-35,E72=300)=TRUE,0.98*D72,IF(AND(D72=-100,E72=160)=TRUE,80,IF(AND(D72=-100,E72=900)=TRUE,80,"x")))))))</f>
        <v/>
      </c>
      <c r="G72" s="82">
        <f>IF(AND(D72&lt;0,E72=0)=TRUE,0.75*D72,IF(AND(D72=0,E72&gt;0)=TRUE,0.25*E72,IF(D72=-E72,0.5*D72,IF(AND(D72=-20,E72=100)=TRUE,0,IF(AND(D72=-35,E72=300)=TRUE,0,IF(AND(D72=-100,E72=160)=TRUE,0,IF(AND(D72=-100,E72=900)=TRUE,0,"x")))))))</f>
        <v/>
      </c>
      <c r="H72" s="82">
        <f>IF(AND(D72&lt;0,E72=0)=TRUE,0.5*D72,IF(AND(D72=0,E72&gt;0)=TRUE,0.5*E72,IF(D72=-E72,0,IF(AND(D72=-20,E72=100)=TRUE,0.33*E72,IF(AND(D72=-35,E72=300)=TRUE,0.33*E72,IF(AND(D72=-100,E72=160)=TRUE,0.33*E72,IF(AND(D72=-100,E72=900)=TRUE,0.33*E72,"x")))))))</f>
        <v/>
      </c>
      <c r="I72" s="82">
        <f>IF(AND(D72&lt;0,E72=0)=TRUE,0.25*D72,IF(AND(D72=0,E72&gt;0)=TRUE,0.75*E72,IF(D72=-E72,0.5*E72,IF(AND(D72=-20,E72=100)=TRUE,0.66*E72,IF(AND(D72=-35,E72=300)=TRUE,0.66*E72,IF(AND(D72=-100,E72=160)=TRUE,0.66*E72,IF(AND(D72=-100,E72=900)=TRUE,0.66*E72,"x")))))))</f>
        <v/>
      </c>
      <c r="J72" s="83">
        <f>IF(AND(D72&lt;0,E72=0)=TRUE,0*D72,IF(AND(D72=0,E72&gt;0)=TRUE,0.98*E72,IF(D72=-E72,0.98*E72,IF(AND(D72=-20,E72=100)=TRUE,0.98*E72,IF(AND(D72=-35,E72=300)=TRUE,0.98*E72,IF(AND(D72=-100,E72=160)=TRUE,0.98*E72,IF(AND(D72=-100,E72=900)=TRUE,0.98*E72,"x")))))))</f>
        <v/>
      </c>
      <c r="K72" s="386" t="inlineStr">
        <is>
          <t>Fail</t>
        </is>
      </c>
      <c r="L72" s="387" t="inlineStr">
        <is>
          <t>A</t>
        </is>
      </c>
      <c r="M72" s="84">
        <f>F72</f>
        <v/>
      </c>
      <c r="N72" s="85">
        <f>G72</f>
        <v/>
      </c>
      <c r="O72" s="86">
        <f>H72</f>
        <v/>
      </c>
      <c r="P72" s="85">
        <f>I72</f>
        <v/>
      </c>
      <c r="Q72" s="87">
        <f>J72</f>
        <v/>
      </c>
      <c r="R72" s="388" t="inlineStr">
        <is>
          <t>kPa</t>
        </is>
      </c>
      <c r="S72" s="389">
        <f>IF(D72&lt;E72,(E72-D72)*0.002,"x")</f>
        <v/>
      </c>
      <c r="T72" s="388" t="n">
        <v>3593396</v>
      </c>
      <c r="U72" s="35" t="n"/>
    </row>
    <row r="73" ht="13" customHeight="1" thickBot="1">
      <c r="A73" s="38" t="n"/>
      <c r="B73" s="390" t="n"/>
      <c r="C73" s="390" t="n"/>
      <c r="D73" s="390" t="n"/>
      <c r="E73" s="391" t="n"/>
      <c r="F73" s="392" t="n">
        <v>0.01</v>
      </c>
      <c r="G73" s="393" t="n">
        <v>75.23999999999999</v>
      </c>
      <c r="H73" s="393" t="n">
        <v>150.45</v>
      </c>
      <c r="I73" s="393" t="n">
        <v>225.66</v>
      </c>
      <c r="J73" s="394" t="n">
        <v>294.86</v>
      </c>
      <c r="K73" s="390" t="n"/>
      <c r="L73" s="390" t="n"/>
      <c r="M73" s="392" t="n">
        <v>-0.01</v>
      </c>
      <c r="N73" s="393" t="n">
        <v>74.95999999999999</v>
      </c>
      <c r="O73" s="393" t="n">
        <v>149.96</v>
      </c>
      <c r="P73" s="393" t="n">
        <v>225.01</v>
      </c>
      <c r="Q73" s="394" t="n">
        <v>294.01</v>
      </c>
      <c r="R73" s="390" t="n"/>
      <c r="S73" s="395" t="n"/>
      <c r="T73" s="390" t="n"/>
      <c r="U73" s="35" t="n"/>
    </row>
    <row r="74" ht="13" customHeight="1" thickBot="1">
      <c r="A74" s="38" t="n"/>
      <c r="B74" s="247" t="n">
        <v>26</v>
      </c>
      <c r="C74" s="247" t="inlineStr">
        <is>
          <t>PTX 26</t>
        </is>
      </c>
      <c r="D74" s="247" t="n">
        <v>0</v>
      </c>
      <c r="E74" s="385" t="n">
        <v>300</v>
      </c>
      <c r="F74" s="126">
        <f>IF(AND(D74&lt;0,E74=0)=TRUE,0.98*D74,IF(AND(D74=0,E74&gt;0)=TRUE,0,IF(D74=-E74,0.98*D74,IF(AND(D74=-20,E74=100)=TRUE,0.98*D74,IF(AND(D74=-35,E74=300)=TRUE,0.98*D74,IF(AND(D74=-100,E74=160)=TRUE,80,IF(AND(D74=-100,E74=900)=TRUE,80,"x")))))))</f>
        <v/>
      </c>
      <c r="G74" s="82">
        <f>IF(AND(D74&lt;0,E74=0)=TRUE,0.75*D74,IF(AND(D74=0,E74&gt;0)=TRUE,0.25*E74,IF(D74=-E74,0.5*D74,IF(AND(D74=-20,E74=100)=TRUE,0,IF(AND(D74=-35,E74=300)=TRUE,0,IF(AND(D74=-100,E74=160)=TRUE,0,IF(AND(D74=-100,E74=900)=TRUE,0,"x")))))))</f>
        <v/>
      </c>
      <c r="H74" s="82">
        <f>IF(AND(D74&lt;0,E74=0)=TRUE,0.5*D74,IF(AND(D74=0,E74&gt;0)=TRUE,0.5*E74,IF(D74=-E74,0,IF(AND(D74=-20,E74=100)=TRUE,0.33*E74,IF(AND(D74=-35,E74=300)=TRUE,0.33*E74,IF(AND(D74=-100,E74=160)=TRUE,0.33*E74,IF(AND(D74=-100,E74=900)=TRUE,0.33*E74,"x")))))))</f>
        <v/>
      </c>
      <c r="I74" s="82">
        <f>IF(AND(D74&lt;0,E74=0)=TRUE,0.25*D74,IF(AND(D74=0,E74&gt;0)=TRUE,0.75*E74,IF(D74=-E74,0.5*E74,IF(AND(D74=-20,E74=100)=TRUE,0.66*E74,IF(AND(D74=-35,E74=300)=TRUE,0.66*E74,IF(AND(D74=-100,E74=160)=TRUE,0.66*E74,IF(AND(D74=-100,E74=900)=TRUE,0.66*E74,"x")))))))</f>
        <v/>
      </c>
      <c r="J74" s="83">
        <f>IF(AND(D74&lt;0,E74=0)=TRUE,0*D74,IF(AND(D74=0,E74&gt;0)=TRUE,0.98*E74,IF(D74=-E74,0.98*E74,IF(AND(D74=-20,E74=100)=TRUE,0.98*E74,IF(AND(D74=-35,E74=300)=TRUE,0.98*E74,IF(AND(D74=-100,E74=160)=TRUE,0.98*E74,IF(AND(D74=-100,E74=900)=TRUE,0.98*E74,"x")))))))</f>
        <v/>
      </c>
      <c r="K74" s="386" t="inlineStr">
        <is>
          <t>Pass</t>
        </is>
      </c>
      <c r="L74" s="387" t="inlineStr">
        <is>
          <t>A</t>
        </is>
      </c>
      <c r="M74" s="84">
        <f>F74</f>
        <v/>
      </c>
      <c r="N74" s="85">
        <f>G74</f>
        <v/>
      </c>
      <c r="O74" s="86">
        <f>H74</f>
        <v/>
      </c>
      <c r="P74" s="85">
        <f>I74</f>
        <v/>
      </c>
      <c r="Q74" s="87">
        <f>J74</f>
        <v/>
      </c>
      <c r="R74" s="388" t="inlineStr">
        <is>
          <t>kPa</t>
        </is>
      </c>
      <c r="S74" s="389">
        <f>IF(D74&lt;E74,(E74-D74)*0.002,"x")</f>
        <v/>
      </c>
      <c r="T74" s="388" t="n">
        <v>5720244</v>
      </c>
      <c r="U74" s="35" t="n"/>
    </row>
    <row r="75" ht="13" customHeight="1" thickBot="1">
      <c r="A75" s="38" t="n"/>
      <c r="B75" s="390" t="n"/>
      <c r="C75" s="390" t="n"/>
      <c r="D75" s="390" t="n"/>
      <c r="E75" s="391" t="n"/>
      <c r="F75" s="392" t="n">
        <v>0</v>
      </c>
      <c r="G75" s="393" t="n">
        <v>74.79000000000001</v>
      </c>
      <c r="H75" s="393" t="n">
        <v>149.9</v>
      </c>
      <c r="I75" s="393" t="n">
        <v>224.91</v>
      </c>
      <c r="J75" s="394" t="n">
        <v>293.85</v>
      </c>
      <c r="K75" s="390" t="n"/>
      <c r="L75" s="390" t="n"/>
      <c r="M75" s="392" t="n">
        <v>0</v>
      </c>
      <c r="N75" s="393" t="n">
        <v>75</v>
      </c>
      <c r="O75" s="393" t="n">
        <v>150</v>
      </c>
      <c r="P75" s="393" t="n">
        <v>225.02</v>
      </c>
      <c r="Q75" s="394" t="n">
        <v>293.98</v>
      </c>
      <c r="R75" s="390" t="n"/>
      <c r="S75" s="395" t="n"/>
      <c r="T75" s="390" t="n"/>
      <c r="U75" s="35" t="n"/>
    </row>
    <row r="76" ht="13" customHeight="1" thickBot="1">
      <c r="A76" s="38" t="n"/>
      <c r="B76" s="247" t="n">
        <v>27</v>
      </c>
      <c r="C76" s="247" t="inlineStr">
        <is>
          <t>PTX 27</t>
        </is>
      </c>
      <c r="D76" s="247" t="n">
        <v>-35</v>
      </c>
      <c r="E76" s="385" t="n">
        <v>300</v>
      </c>
      <c r="F76" s="126">
        <f>IF(AND(D76&lt;0,E76=0)=TRUE,0.98*D76,IF(AND(D76=0,E76&gt;0)=TRUE,0,IF(D76=-E76,0.98*D76,IF(AND(D76=-20,E76=100)=TRUE,0.98*D76,IF(AND(D76=-35,E76=300)=TRUE,0.98*D76,IF(AND(D76=-100,E76=160)=TRUE,80,IF(AND(D76=-100,E76=900)=TRUE,80,"x")))))))</f>
        <v/>
      </c>
      <c r="G76" s="82">
        <f>IF(AND(D76&lt;0,E76=0)=TRUE,0.75*D76,IF(AND(D76=0,E76&gt;0)=TRUE,0.25*E76,IF(D76=-E76,0.5*D76,IF(AND(D76=-20,E76=100)=TRUE,0,IF(AND(D76=-35,E76=300)=TRUE,0,IF(AND(D76=-100,E76=160)=TRUE,0,IF(AND(D76=-100,E76=900)=TRUE,0,"x")))))))</f>
        <v/>
      </c>
      <c r="H76" s="82">
        <f>IF(AND(D76&lt;0,E76=0)=TRUE,0.5*D76,IF(AND(D76=0,E76&gt;0)=TRUE,0.5*E76,IF(D76=-E76,0,IF(AND(D76=-20,E76=100)=TRUE,0.33*E76,IF(AND(D76=-35,E76=300)=TRUE,0.33*E76,IF(AND(D76=-100,E76=160)=TRUE,0.33*E76,IF(AND(D76=-100,E76=900)=TRUE,0.33*E76,"x")))))))</f>
        <v/>
      </c>
      <c r="I76" s="82">
        <f>IF(AND(D76&lt;0,E76=0)=TRUE,0.25*D76,IF(AND(D76=0,E76&gt;0)=TRUE,0.75*E76,IF(D76=-E76,0.5*E76,IF(AND(D76=-20,E76=100)=TRUE,0.66*E76,IF(AND(D76=-35,E76=300)=TRUE,0.66*E76,IF(AND(D76=-100,E76=160)=TRUE,0.66*E76,IF(AND(D76=-100,E76=900)=TRUE,0.66*E76,"x")))))))</f>
        <v/>
      </c>
      <c r="J76" s="83">
        <f>IF(AND(D76&lt;0,E76=0)=TRUE,0*D76,IF(AND(D76=0,E76&gt;0)=TRUE,0.98*E76,IF(D76=-E76,0.98*E76,IF(AND(D76=-20,E76=100)=TRUE,0.98*E76,IF(AND(D76=-35,E76=300)=TRUE,0.98*E76,IF(AND(D76=-100,E76=160)=TRUE,0.98*E76,IF(AND(D76=-100,E76=900)=TRUE,0.98*E76,"x")))))))</f>
        <v/>
      </c>
      <c r="K76" s="386" t="inlineStr">
        <is>
          <t>Pass</t>
        </is>
      </c>
      <c r="L76" s="387" t="inlineStr">
        <is>
          <t>A</t>
        </is>
      </c>
      <c r="M76" s="84">
        <f>F76</f>
        <v/>
      </c>
      <c r="N76" s="85">
        <f>G76</f>
        <v/>
      </c>
      <c r="O76" s="86">
        <f>H76</f>
        <v/>
      </c>
      <c r="P76" s="85">
        <f>I76</f>
        <v/>
      </c>
      <c r="Q76" s="87">
        <f>J76</f>
        <v/>
      </c>
      <c r="R76" s="388" t="inlineStr">
        <is>
          <t>kPa</t>
        </is>
      </c>
      <c r="S76" s="389">
        <f>IF(D76&lt;E76,(E76-D76)*0.002,"x")</f>
        <v/>
      </c>
      <c r="T76" s="388" t="n">
        <v>3593338</v>
      </c>
      <c r="U76" s="35" t="n"/>
    </row>
    <row r="77" ht="13" customHeight="1" thickBot="1">
      <c r="A77" s="38" t="n"/>
      <c r="B77" s="390" t="n"/>
      <c r="C77" s="390" t="n"/>
      <c r="D77" s="390" t="n"/>
      <c r="E77" s="391" t="n"/>
      <c r="F77" s="392" t="n">
        <v>-34.58</v>
      </c>
      <c r="G77" s="393" t="n">
        <v>0.04</v>
      </c>
      <c r="H77" s="393" t="n">
        <v>99.12</v>
      </c>
      <c r="I77" s="393" t="n">
        <v>198.26</v>
      </c>
      <c r="J77" s="394" t="n">
        <v>294.39</v>
      </c>
      <c r="K77" s="390" t="n"/>
      <c r="L77" s="390" t="n"/>
      <c r="M77" s="392" t="n">
        <v>-34.3</v>
      </c>
      <c r="N77" s="393" t="n">
        <v>-0.02</v>
      </c>
      <c r="O77" s="393" t="n">
        <v>98.93000000000001</v>
      </c>
      <c r="P77" s="393" t="n">
        <v>197.95</v>
      </c>
      <c r="Q77" s="394" t="n">
        <v>293.976</v>
      </c>
      <c r="R77" s="390" t="n"/>
      <c r="S77" s="395" t="n"/>
      <c r="T77" s="390" t="n"/>
      <c r="U77" s="35" t="n"/>
    </row>
    <row r="78" ht="13" customHeight="1" thickBot="1">
      <c r="A78" s="38" t="n"/>
      <c r="B78" s="247" t="n">
        <v>28</v>
      </c>
      <c r="C78" s="247" t="inlineStr">
        <is>
          <t>PTX 28</t>
        </is>
      </c>
      <c r="D78" s="247" t="n">
        <v>0</v>
      </c>
      <c r="E78" s="385" t="n">
        <v>300</v>
      </c>
      <c r="F78" s="126">
        <f>IF(AND(D78&lt;0,E78=0)=TRUE,0.98*D78,IF(AND(D78=0,E78&gt;0)=TRUE,0,IF(D78=-E78,0.98*D78,IF(AND(D78=-20,E78=100)=TRUE,0.98*D78,IF(AND(D78=-35,E78=300)=TRUE,0.98*D78,IF(AND(D78=-100,E78=160)=TRUE,80,IF(AND(D78=-100,E78=900)=TRUE,80,"x")))))))</f>
        <v/>
      </c>
      <c r="G78" s="82">
        <f>IF(AND(D78&lt;0,E78=0)=TRUE,0.75*D78,IF(AND(D78=0,E78&gt;0)=TRUE,0.25*E78,IF(D78=-E78,0.5*D78,IF(AND(D78=-20,E78=100)=TRUE,0,IF(AND(D78=-35,E78=300)=TRUE,0,IF(AND(D78=-100,E78=160)=TRUE,0,IF(AND(D78=-100,E78=900)=TRUE,0,"x")))))))</f>
        <v/>
      </c>
      <c r="H78" s="82">
        <f>IF(AND(D78&lt;0,E78=0)=TRUE,0.5*D78,IF(AND(D78=0,E78&gt;0)=TRUE,0.5*E78,IF(D78=-E78,0,IF(AND(D78=-20,E78=100)=TRUE,0.33*E78,IF(AND(D78=-35,E78=300)=TRUE,0.33*E78,IF(AND(D78=-100,E78=160)=TRUE,0.33*E78,IF(AND(D78=-100,E78=900)=TRUE,0.33*E78,"x")))))))</f>
        <v/>
      </c>
      <c r="I78" s="82">
        <f>IF(AND(D78&lt;0,E78=0)=TRUE,0.25*D78,IF(AND(D78=0,E78&gt;0)=TRUE,0.75*E78,IF(D78=-E78,0.5*E78,IF(AND(D78=-20,E78=100)=TRUE,0.66*E78,IF(AND(D78=-35,E78=300)=TRUE,0.66*E78,IF(AND(D78=-100,E78=160)=TRUE,0.66*E78,IF(AND(D78=-100,E78=900)=TRUE,0.66*E78,"x")))))))</f>
        <v/>
      </c>
      <c r="J78" s="83">
        <f>IF(AND(D78&lt;0,E78=0)=TRUE,0*D78,IF(AND(D78=0,E78&gt;0)=TRUE,0.98*E78,IF(D78=-E78,0.98*E78,IF(AND(D78=-20,E78=100)=TRUE,0.98*E78,IF(AND(D78=-35,E78=300)=TRUE,0.98*E78,IF(AND(D78=-100,E78=160)=TRUE,0.98*E78,IF(AND(D78=-100,E78=900)=TRUE,0.98*E78,"x")))))))</f>
        <v/>
      </c>
      <c r="K78" s="386" t="inlineStr">
        <is>
          <t>Pass</t>
        </is>
      </c>
      <c r="L78" s="387" t="inlineStr">
        <is>
          <t>A</t>
        </is>
      </c>
      <c r="M78" s="84">
        <f>F78</f>
        <v/>
      </c>
      <c r="N78" s="85">
        <f>G78</f>
        <v/>
      </c>
      <c r="O78" s="86">
        <f>H78</f>
        <v/>
      </c>
      <c r="P78" s="85">
        <f>I78</f>
        <v/>
      </c>
      <c r="Q78" s="87">
        <f>J78</f>
        <v/>
      </c>
      <c r="R78" s="388" t="inlineStr">
        <is>
          <t>kPa</t>
        </is>
      </c>
      <c r="S78" s="389">
        <f>IF(D78&lt;E78,(E78-D78)*0.002,"x")</f>
        <v/>
      </c>
      <c r="T78" s="388" t="n">
        <v>3602492</v>
      </c>
      <c r="U78" s="35" t="n"/>
    </row>
    <row r="79" ht="13" customHeight="1" thickBot="1">
      <c r="A79" s="38" t="n"/>
      <c r="B79" s="390" t="n"/>
      <c r="C79" s="390" t="n"/>
      <c r="D79" s="390" t="n"/>
      <c r="E79" s="391" t="n"/>
      <c r="F79" s="392" t="n">
        <v>0</v>
      </c>
      <c r="G79" s="393" t="n">
        <v>75.05</v>
      </c>
      <c r="H79" s="393" t="n">
        <v>150.24</v>
      </c>
      <c r="I79" s="393" t="n">
        <v>225.27</v>
      </c>
      <c r="J79" s="394" t="n">
        <v>294.35</v>
      </c>
      <c r="K79" s="390" t="n"/>
      <c r="L79" s="390" t="n"/>
      <c r="M79" s="392" t="n">
        <v>0</v>
      </c>
      <c r="N79" s="393" t="n">
        <v>75.01000000000001</v>
      </c>
      <c r="O79" s="393" t="n">
        <v>150.01</v>
      </c>
      <c r="P79" s="393" t="n">
        <v>224.98</v>
      </c>
      <c r="Q79" s="394" t="n">
        <v>294</v>
      </c>
      <c r="R79" s="390" t="n"/>
      <c r="S79" s="395" t="n"/>
      <c r="T79" s="390" t="n"/>
      <c r="U79" s="35" t="n"/>
    </row>
    <row r="80" ht="13" customHeight="1" thickBot="1">
      <c r="A80" s="38" t="n"/>
      <c r="B80" s="247" t="n">
        <v>29</v>
      </c>
      <c r="C80" s="247" t="inlineStr">
        <is>
          <t>PTX 29</t>
        </is>
      </c>
      <c r="D80" s="247" t="n">
        <v>0</v>
      </c>
      <c r="E80" s="385" t="n">
        <v>300</v>
      </c>
      <c r="F80" s="126">
        <f>IF(AND(D80&lt;0,E80=0)=TRUE,0.98*D80,IF(AND(D80=0,E80&gt;0)=TRUE,0,IF(D80=-E80,0.98*D80,IF(AND(D80=-20,E80=100)=TRUE,0.98*D80,IF(AND(D80=-35,E80=300)=TRUE,0.98*D80,IF(AND(D80=-100,E80=160)=TRUE,80,IF(AND(D80=-100,E80=900)=TRUE,80,"x")))))))</f>
        <v/>
      </c>
      <c r="G80" s="82">
        <f>IF(AND(D80&lt;0,E80=0)=TRUE,0.75*D80,IF(AND(D80=0,E80&gt;0)=TRUE,0.25*E80,IF(D80=-E80,0.5*D80,IF(AND(D80=-20,E80=100)=TRUE,0,IF(AND(D80=-35,E80=300)=TRUE,0,IF(AND(D80=-100,E80=160)=TRUE,0,IF(AND(D80=-100,E80=900)=TRUE,0,"x")))))))</f>
        <v/>
      </c>
      <c r="H80" s="82">
        <f>IF(AND(D80&lt;0,E80=0)=TRUE,0.5*D80,IF(AND(D80=0,E80&gt;0)=TRUE,0.5*E80,IF(D80=-E80,0,IF(AND(D80=-20,E80=100)=TRUE,0.33*E80,IF(AND(D80=-35,E80=300)=TRUE,0.33*E80,IF(AND(D80=-100,E80=160)=TRUE,0.33*E80,IF(AND(D80=-100,E80=900)=TRUE,0.33*E80,"x")))))))</f>
        <v/>
      </c>
      <c r="I80" s="82">
        <f>IF(AND(D80&lt;0,E80=0)=TRUE,0.25*D80,IF(AND(D80=0,E80&gt;0)=TRUE,0.75*E80,IF(D80=-E80,0.5*E80,IF(AND(D80=-20,E80=100)=TRUE,0.66*E80,IF(AND(D80=-35,E80=300)=TRUE,0.66*E80,IF(AND(D80=-100,E80=160)=TRUE,0.66*E80,IF(AND(D80=-100,E80=900)=TRUE,0.66*E80,"x")))))))</f>
        <v/>
      </c>
      <c r="J80" s="83">
        <f>IF(AND(D80&lt;0,E80=0)=TRUE,0*D80,IF(AND(D80=0,E80&gt;0)=TRUE,0.98*E80,IF(D80=-E80,0.98*E80,IF(AND(D80=-20,E80=100)=TRUE,0.98*E80,IF(AND(D80=-35,E80=300)=TRUE,0.98*E80,IF(AND(D80=-100,E80=160)=TRUE,0.98*E80,IF(AND(D80=-100,E80=900)=TRUE,0.98*E80,"x")))))))</f>
        <v/>
      </c>
      <c r="K80" s="386" t="inlineStr">
        <is>
          <t>Fail</t>
        </is>
      </c>
      <c r="L80" s="387" t="inlineStr">
        <is>
          <t>A</t>
        </is>
      </c>
      <c r="M80" s="84">
        <f>F80</f>
        <v/>
      </c>
      <c r="N80" s="85">
        <f>G80</f>
        <v/>
      </c>
      <c r="O80" s="86">
        <f>H80</f>
        <v/>
      </c>
      <c r="P80" s="85">
        <f>I80</f>
        <v/>
      </c>
      <c r="Q80" s="87">
        <f>J80</f>
        <v/>
      </c>
      <c r="R80" s="388" t="inlineStr">
        <is>
          <t>kPa</t>
        </is>
      </c>
      <c r="S80" s="389">
        <f>IF(D80&lt;E80,(E80-D80)*0.002,"x")</f>
        <v/>
      </c>
      <c r="T80" s="388" t="n">
        <v>3483319</v>
      </c>
      <c r="U80" s="35" t="n"/>
    </row>
    <row r="81" ht="13" customHeight="1" thickBot="1">
      <c r="A81" s="38" t="n"/>
      <c r="B81" s="390" t="n"/>
      <c r="C81" s="390" t="n"/>
      <c r="D81" s="390" t="n"/>
      <c r="E81" s="391" t="n"/>
      <c r="F81" s="392" t="n">
        <v>0</v>
      </c>
      <c r="G81" s="393" t="n">
        <v>75.11</v>
      </c>
      <c r="H81" s="393" t="n">
        <v>150.57</v>
      </c>
      <c r="I81" s="393" t="n">
        <v>225.67</v>
      </c>
      <c r="J81" s="394" t="n">
        <v>294.55</v>
      </c>
      <c r="K81" s="390" t="n"/>
      <c r="L81" s="390" t="n"/>
      <c r="M81" s="392" t="n">
        <v>0</v>
      </c>
      <c r="N81" s="393" t="n">
        <v>74.98</v>
      </c>
      <c r="O81" s="393" t="n">
        <v>149.96</v>
      </c>
      <c r="P81" s="393" t="n">
        <v>224.96</v>
      </c>
      <c r="Q81" s="394" t="n">
        <v>293.96</v>
      </c>
      <c r="R81" s="390" t="n"/>
      <c r="S81" s="395" t="n"/>
      <c r="T81" s="390" t="n"/>
      <c r="U81" s="35" t="n"/>
    </row>
    <row r="82" ht="13" customHeight="1" thickBot="1">
      <c r="A82" s="38" t="n"/>
      <c r="B82" s="247" t="n">
        <v>30</v>
      </c>
      <c r="C82" s="247" t="inlineStr">
        <is>
          <t>PTX 30</t>
        </is>
      </c>
      <c r="D82" s="247" t="n">
        <v>0</v>
      </c>
      <c r="E82" s="385" t="n">
        <v>250</v>
      </c>
      <c r="F82" s="126" t="n">
        <v>0</v>
      </c>
      <c r="G82" s="82">
        <f>IF(AND(D82&lt;0,E82=0)=TRUE,0.75*D82,IF(AND(D82=0,E82&gt;0)=TRUE,0.25*E82,IF(D82=-E82,0.5*D82,IF(AND(D82=-20,E82=100)=TRUE,0,IF(AND(D82=-35,E82=300)=TRUE,0,IF(AND(D82=-100,E82=160)=TRUE,0,IF(AND(D82=-100,E82=900)=TRUE,0,"x")))))))</f>
        <v/>
      </c>
      <c r="H82" s="82">
        <f>IF(AND(D82&lt;0,E82=0)=TRUE,0.5*D82,IF(AND(D82=0,E82&gt;0)=TRUE,0.5*E82,IF(D82=-E82,0,IF(AND(D82=-20,E82=100)=TRUE,0.33*E82,IF(AND(D82=-35,E82=300)=TRUE,0.33*E82,IF(AND(D82=-100,E82=160)=TRUE,0.33*E82,IF(AND(D82=-100,E82=900)=TRUE,0.33*E82,"x")))))))</f>
        <v/>
      </c>
      <c r="I82" s="82">
        <f>IF(AND(D82&lt;0,E82=0)=TRUE,0.25*D82,IF(AND(D82=0,E82&gt;0)=TRUE,0.75*E82,IF(D82=-E82,0.5*E82,IF(AND(D82=-20,E82=100)=TRUE,0.66*E82,IF(AND(D82=-35,E82=300)=TRUE,0.66*E82,IF(AND(D82=-100,E82=160)=TRUE,0.66*E82,IF(AND(D82=-100,E82=900)=TRUE,0.66*E82,"x")))))))</f>
        <v/>
      </c>
      <c r="J82" s="83">
        <f>IF(AND(D82&lt;0,E82=0)=TRUE,0*D82,IF(AND(D82=0,E82&gt;0)=TRUE,0.98*E82,IF(D82=-E82,0.98*E82,IF(AND(D82=-20,E82=100)=TRUE,0.98*E82,IF(AND(D82=-35,E82=300)=TRUE,0.98*E82,IF(AND(D82=-100,E82=160)=TRUE,0.98*E82,IF(AND(D82=-100,E82=900)=TRUE,0.98*E82,"x")))))))</f>
        <v/>
      </c>
      <c r="K82" s="386" t="inlineStr">
        <is>
          <t>Fail</t>
        </is>
      </c>
      <c r="L82" s="387" t="inlineStr">
        <is>
          <t>A</t>
        </is>
      </c>
      <c r="M82" s="84">
        <f>F82</f>
        <v/>
      </c>
      <c r="N82" s="85">
        <f>G82</f>
        <v/>
      </c>
      <c r="O82" s="86">
        <f>H82</f>
        <v/>
      </c>
      <c r="P82" s="85">
        <f>I82</f>
        <v/>
      </c>
      <c r="Q82" s="87">
        <f>J82</f>
        <v/>
      </c>
      <c r="R82" s="388" t="inlineStr">
        <is>
          <t>kPa</t>
        </is>
      </c>
      <c r="S82" s="389">
        <f>IF(D82&lt;E82,(E82-D82)*0.002,"x")</f>
        <v/>
      </c>
      <c r="T82" s="388" t="n">
        <v>3114409</v>
      </c>
      <c r="U82" s="35" t="n"/>
    </row>
    <row r="83" ht="13" customHeight="1" thickBot="1">
      <c r="A83" s="38" t="n"/>
      <c r="B83" s="390" t="n"/>
      <c r="C83" s="390" t="n"/>
      <c r="D83" s="390" t="n"/>
      <c r="E83" s="391" t="n"/>
      <c r="F83" s="392" t="n">
        <v>0.02</v>
      </c>
      <c r="G83" s="393" t="n">
        <v>62.3</v>
      </c>
      <c r="H83" s="393" t="n">
        <v>124.8</v>
      </c>
      <c r="I83" s="393" t="n">
        <v>186</v>
      </c>
      <c r="J83" s="394" t="n">
        <v>244.8</v>
      </c>
      <c r="K83" s="390" t="n"/>
      <c r="L83" s="390" t="n"/>
      <c r="M83" s="392" t="n">
        <v>0.01</v>
      </c>
      <c r="N83" s="393" t="n">
        <v>62.45</v>
      </c>
      <c r="O83" s="393" t="n">
        <v>124.95</v>
      </c>
      <c r="P83" s="393" t="n">
        <v>187.45</v>
      </c>
      <c r="Q83" s="394" t="n">
        <v>244.98</v>
      </c>
      <c r="R83" s="390" t="n"/>
      <c r="S83" s="395" t="n"/>
      <c r="T83" s="390" t="n"/>
      <c r="U83" s="35" t="n"/>
    </row>
    <row r="84" ht="13" customHeight="1" thickBot="1">
      <c r="A84" s="38" t="n"/>
      <c r="B84" s="247" t="n">
        <v>31</v>
      </c>
      <c r="C84" s="247" t="inlineStr">
        <is>
          <t>PTX 31</t>
        </is>
      </c>
      <c r="D84" s="247" t="n">
        <v>-100</v>
      </c>
      <c r="E84" s="385" t="n">
        <v>160</v>
      </c>
      <c r="F84" s="126" t="n">
        <v>-80</v>
      </c>
      <c r="G84" s="82">
        <f>IF(AND(D84&lt;0,E84=0)=TRUE,0.75*D84,IF(AND(D84=0,E84&gt;0)=TRUE,0.25*E84,IF(D84=-E84,0.5*D84,IF(AND(D84=-20,E84=100)=TRUE,0,IF(AND(D84=-35,E84=300)=TRUE,0,IF(AND(D84=-100,E84=160)=TRUE,0,IF(AND(D84=-100,E84=900)=TRUE,0,"x")))))))</f>
        <v/>
      </c>
      <c r="H84" s="82">
        <f>IF(AND(D84&lt;0,E84=0)=TRUE,0.5*D84,IF(AND(D84=0,E84&gt;0)=TRUE,0.5*E84,IF(D84=-E84,0,IF(AND(D84=-20,E84=100)=TRUE,0.33*E84,IF(AND(D84=-35,E84=300)=TRUE,0.33*E84,IF(AND(D84=-100,E84=160)=TRUE,0.33*E84,IF(AND(D84=-100,E84=900)=TRUE,0.33*E84,"x")))))))</f>
        <v/>
      </c>
      <c r="I84" s="82">
        <f>IF(AND(D84&lt;0,E84=0)=TRUE,0.25*D84,IF(AND(D84=0,E84&gt;0)=TRUE,0.75*E84,IF(D84=-E84,0.5*E84,IF(AND(D84=-20,E84=100)=TRUE,0.66*E84,IF(AND(D84=-35,E84=300)=TRUE,0.66*E84,IF(AND(D84=-100,E84=160)=TRUE,0.66*E84,IF(AND(D84=-100,E84=900)=TRUE,0.66*E84,"x")))))))</f>
        <v/>
      </c>
      <c r="J84" s="83">
        <f>IF(AND(D84&lt;0,E84=0)=TRUE,0*D84,IF(AND(D84=0,E84&gt;0)=TRUE,0.98*E84,IF(D84=-E84,0.98*E84,IF(AND(D84=-20,E84=100)=TRUE,0.98*E84,IF(AND(D84=-35,E84=300)=TRUE,0.98*E84,IF(AND(D84=-100,E84=160)=TRUE,0.98*E84,IF(AND(D84=-100,E84=900)=TRUE,0.98*E84,"x")))))))</f>
        <v/>
      </c>
      <c r="K84" s="386" t="inlineStr">
        <is>
          <t>Pass</t>
        </is>
      </c>
      <c r="L84" s="387" t="inlineStr">
        <is>
          <t>A</t>
        </is>
      </c>
      <c r="M84" s="84">
        <f>F84</f>
        <v/>
      </c>
      <c r="N84" s="85">
        <f>G84</f>
        <v/>
      </c>
      <c r="O84" s="86">
        <f>H84</f>
        <v/>
      </c>
      <c r="P84" s="85">
        <f>I84</f>
        <v/>
      </c>
      <c r="Q84" s="87">
        <f>J84</f>
        <v/>
      </c>
      <c r="R84" s="388" t="inlineStr">
        <is>
          <t>kPa</t>
        </is>
      </c>
      <c r="S84" s="389">
        <f>IF(D84&lt;E84,(E84-D84)*0.002,"x")</f>
        <v/>
      </c>
      <c r="T84" s="388" t="n"/>
      <c r="U84" s="35" t="n"/>
    </row>
    <row r="85" ht="13" customHeight="1" thickBot="1">
      <c r="A85" s="38" t="n"/>
      <c r="B85" s="390" t="n"/>
      <c r="C85" s="390" t="n"/>
      <c r="D85" s="390" t="n"/>
      <c r="E85" s="391" t="n"/>
      <c r="F85" s="392" t="n"/>
      <c r="G85" s="393" t="n"/>
      <c r="H85" s="393" t="n"/>
      <c r="I85" s="393" t="n"/>
      <c r="J85" s="394" t="n"/>
      <c r="K85" s="390" t="n"/>
      <c r="L85" s="390" t="n"/>
      <c r="M85" s="392" t="n"/>
      <c r="N85" s="393" t="n"/>
      <c r="O85" s="393" t="n"/>
      <c r="P85" s="393" t="n"/>
      <c r="Q85" s="394" t="n"/>
      <c r="R85" s="390" t="n"/>
      <c r="S85" s="395" t="n"/>
      <c r="T85" s="390" t="n"/>
      <c r="U85" s="35" t="n"/>
    </row>
    <row r="86" ht="13" customHeight="1" thickBot="1">
      <c r="A86" s="38" t="n"/>
      <c r="B86" s="247" t="n">
        <v>32</v>
      </c>
      <c r="C86" s="247" t="inlineStr">
        <is>
          <t>PTX 32</t>
        </is>
      </c>
      <c r="D86" s="247" t="n">
        <v>0</v>
      </c>
      <c r="E86" s="385" t="n">
        <v>7</v>
      </c>
      <c r="F86" s="126">
        <f>IF(AND(D86&lt;0,E86=0)=TRUE,0.98*D86,IF(AND(D86=0,E86&gt;0)=TRUE,0,IF(D86=-E86,0.98*D86,IF(AND(D86=-20,E86=100)=TRUE,0.98*D86,IF(AND(D86=-35,E86=300)=TRUE,0.98*D86,IF(AND(D86=-100,E86=160)=TRUE,80,IF(AND(D86=-100,E86=900)=TRUE,80,"x")))))))</f>
        <v/>
      </c>
      <c r="G86" s="82">
        <f>IF(AND(D86&lt;0,E86=0)=TRUE,0.75*D86,IF(AND(D86=0,E86&gt;0)=TRUE,0.25*E86,IF(D86=-E86,0.5*D86,IF(AND(D86=-20,E86=100)=TRUE,0,IF(AND(D86=-35,E86=300)=TRUE,0,IF(AND(D86=-100,E86=160)=TRUE,0,IF(AND(D86=-100,E86=900)=TRUE,0,"x")))))))</f>
        <v/>
      </c>
      <c r="H86" s="82">
        <f>IF(AND(D86&lt;0,E86=0)=TRUE,0.5*D86,IF(AND(D86=0,E86&gt;0)=TRUE,0.5*E86,IF(D86=-E86,0,IF(AND(D86=-20,E86=100)=TRUE,0.33*E86,IF(AND(D86=-35,E86=300)=TRUE,0.33*E86,IF(AND(D86=-100,E86=160)=TRUE,0.33*E86,IF(AND(D86=-100,E86=900)=TRUE,0.33*E86,"x")))))))</f>
        <v/>
      </c>
      <c r="I86" s="82">
        <f>IF(AND(D86&lt;0,E86=0)=TRUE,0.25*D86,IF(AND(D86=0,E86&gt;0)=TRUE,0.75*E86,IF(D86=-E86,0.5*E86,IF(AND(D86=-20,E86=100)=TRUE,0.66*E86,IF(AND(D86=-35,E86=300)=TRUE,0.66*E86,IF(AND(D86=-100,E86=160)=TRUE,0.66*E86,IF(AND(D86=-100,E86=900)=TRUE,0.66*E86,"x")))))))</f>
        <v/>
      </c>
      <c r="J86" s="83">
        <f>IF(AND(D86&lt;0,E86=0)=TRUE,0*D86,IF(AND(D86=0,E86&gt;0)=TRUE,0.98*E86,IF(D86=-E86,0.98*E86,IF(AND(D86=-20,E86=100)=TRUE,0.98*E86,IF(AND(D86=-35,E86=300)=TRUE,0.98*E86,IF(AND(D86=-100,E86=160)=TRUE,0.98*E86,IF(AND(D86=-100,E86=900)=TRUE,0.98*E86,"x")))))))</f>
        <v/>
      </c>
      <c r="K86" s="386" t="inlineStr">
        <is>
          <t>Pass</t>
        </is>
      </c>
      <c r="L86" s="387" t="inlineStr">
        <is>
          <t>A</t>
        </is>
      </c>
      <c r="M86" s="84">
        <f>F86</f>
        <v/>
      </c>
      <c r="N86" s="85">
        <f>G86</f>
        <v/>
      </c>
      <c r="O86" s="86">
        <f>H86</f>
        <v/>
      </c>
      <c r="P86" s="85">
        <f>I86</f>
        <v/>
      </c>
      <c r="Q86" s="87">
        <f>J86</f>
        <v/>
      </c>
      <c r="R86" s="388" t="inlineStr">
        <is>
          <t>kPa</t>
        </is>
      </c>
      <c r="S86" s="389">
        <f>IF(D86&lt;E86,(E86-D86)*0.002,"x")</f>
        <v/>
      </c>
      <c r="T86" s="388" t="n"/>
      <c r="U86" s="35" t="n"/>
    </row>
    <row r="87" ht="13" customHeight="1" thickBot="1">
      <c r="A87" s="38" t="n"/>
      <c r="B87" s="390" t="n"/>
      <c r="C87" s="390" t="n"/>
      <c r="D87" s="390" t="n"/>
      <c r="E87" s="391" t="n"/>
      <c r="F87" s="392" t="n"/>
      <c r="G87" s="393" t="n"/>
      <c r="H87" s="393" t="n"/>
      <c r="I87" s="393" t="n"/>
      <c r="J87" s="394" t="n"/>
      <c r="K87" s="390" t="n"/>
      <c r="L87" s="390" t="n"/>
      <c r="M87" s="392" t="n"/>
      <c r="N87" s="392" t="n"/>
      <c r="O87" s="392" t="n"/>
      <c r="P87" s="392" t="n"/>
      <c r="Q87" s="392" t="n"/>
      <c r="R87" s="390" t="n"/>
      <c r="S87" s="395" t="n"/>
      <c r="T87" s="390" t="n"/>
      <c r="U87" s="35" t="n"/>
    </row>
    <row r="88" ht="13" customHeight="1" thickBot="1">
      <c r="A88" s="38" t="n"/>
      <c r="B88" s="247" t="n">
        <v>33</v>
      </c>
      <c r="C88" s="247" t="inlineStr">
        <is>
          <t>PTX 33</t>
        </is>
      </c>
      <c r="D88" s="247" t="n">
        <v>0</v>
      </c>
      <c r="E88" s="385" t="n">
        <v>600</v>
      </c>
      <c r="F88" s="126">
        <f>IF(AND(D88&lt;0,E88=0)=TRUE,0.98*D88,IF(AND(D88=0,E88&gt;0)=TRUE,0,IF(D88=-E88,0.98*D88,IF(AND(D88=-20,E88=100)=TRUE,0.98*D88,IF(AND(D88=-35,E88=300)=TRUE,0.98*D88,IF(AND(D88=-100,E88=160)=TRUE,80,IF(AND(D88=-100,E88=900)=TRUE,80,"x")))))))</f>
        <v/>
      </c>
      <c r="G88" s="82">
        <f>IF(AND(D88&lt;0,E88=0)=TRUE,0.75*D88,IF(AND(D88=0,E88&gt;0)=TRUE,0.25*E88,IF(D88=-E88,0.5*D88,IF(AND(D88=-20,E88=100)=TRUE,0,IF(AND(D88=-35,E88=300)=TRUE,0,IF(AND(D88=-100,E88=160)=TRUE,0,IF(AND(D88=-100,E88=900)=TRUE,0,"x")))))))</f>
        <v/>
      </c>
      <c r="H88" s="82">
        <f>IF(AND(D88&lt;0,E88=0)=TRUE,0.5*D88,IF(AND(D88=0,E88&gt;0)=TRUE,0.5*E88,IF(D88=-E88,0,IF(AND(D88=-20,E88=100)=TRUE,0.33*E88,IF(AND(D88=-35,E88=300)=TRUE,0.33*E88,IF(AND(D88=-100,E88=160)=TRUE,0.33*E88,IF(AND(D88=-100,E88=900)=TRUE,0.33*E88,"x")))))))</f>
        <v/>
      </c>
      <c r="I88" s="82">
        <f>IF(AND(D88&lt;0,E88=0)=TRUE,0.25*D88,IF(AND(D88=0,E88&gt;0)=TRUE,0.75*E88,IF(D88=-E88,0.5*E88,IF(AND(D88=-20,E88=100)=TRUE,0.66*E88,IF(AND(D88=-35,E88=300)=TRUE,0.66*E88,IF(AND(D88=-100,E88=160)=TRUE,0.66*E88,IF(AND(D88=-100,E88=900)=TRUE,0.66*E88,"x")))))))</f>
        <v/>
      </c>
      <c r="J88" s="83">
        <f>IF(AND(D88&lt;0,E88=0)=TRUE,0*D88,IF(AND(D88=0,E88&gt;0)=TRUE,0.98*E88,IF(D88=-E88,0.98*E88,IF(AND(D88=-20,E88=100)=TRUE,0.98*E88,IF(AND(D88=-35,E88=300)=TRUE,0.98*E88,IF(AND(D88=-100,E88=160)=TRUE,0.98*E88,IF(AND(D88=-100,E88=900)=TRUE,0.98*E88,"x")))))))</f>
        <v/>
      </c>
      <c r="K88" s="386" t="inlineStr">
        <is>
          <t>Pass</t>
        </is>
      </c>
      <c r="L88" s="387" t="inlineStr">
        <is>
          <t>A</t>
        </is>
      </c>
      <c r="M88" s="84">
        <f>F88</f>
        <v/>
      </c>
      <c r="N88" s="85">
        <f>G88</f>
        <v/>
      </c>
      <c r="O88" s="86">
        <f>H88</f>
        <v/>
      </c>
      <c r="P88" s="85">
        <f>I88</f>
        <v/>
      </c>
      <c r="Q88" s="87">
        <f>J88</f>
        <v/>
      </c>
      <c r="R88" s="388" t="inlineStr">
        <is>
          <t>kPa</t>
        </is>
      </c>
      <c r="S88" s="389">
        <f>IF(D88&lt;E88,(E88-D88)*0.002,"x")</f>
        <v/>
      </c>
      <c r="T88" s="388" t="n"/>
      <c r="U88" s="35" t="n"/>
    </row>
    <row r="89" ht="13" customHeight="1" thickBot="1">
      <c r="A89" s="38" t="n"/>
      <c r="B89" s="390" t="n"/>
      <c r="C89" s="390" t="n"/>
      <c r="D89" s="390" t="n"/>
      <c r="E89" s="391" t="n"/>
      <c r="F89" s="392" t="n"/>
      <c r="G89" s="393" t="n"/>
      <c r="H89" s="393" t="n"/>
      <c r="I89" s="393" t="n"/>
      <c r="J89" s="394" t="n"/>
      <c r="K89" s="390" t="n"/>
      <c r="L89" s="390" t="n"/>
      <c r="M89" s="392" t="n"/>
      <c r="N89" s="392" t="n"/>
      <c r="O89" s="392" t="n"/>
      <c r="P89" s="392" t="n"/>
      <c r="Q89" s="392" t="n"/>
      <c r="R89" s="390" t="n"/>
      <c r="S89" s="395" t="n"/>
      <c r="T89" s="390" t="n"/>
      <c r="U89" s="35" t="n"/>
    </row>
    <row r="90" ht="13" customHeight="1" thickBot="1">
      <c r="A90" s="38" t="n"/>
      <c r="B90" s="247" t="n">
        <v>34</v>
      </c>
      <c r="C90" s="247" t="inlineStr">
        <is>
          <t>PTX 34</t>
        </is>
      </c>
      <c r="D90" s="247" t="n">
        <v>0</v>
      </c>
      <c r="E90" s="385" t="n">
        <v>600</v>
      </c>
      <c r="F90" s="126">
        <f>IF(AND(D90&lt;0,E90=0)=TRUE,0.98*D90,IF(AND(D90=0,E90&gt;0)=TRUE,0,IF(D90=-E90,0.98*D90,IF(AND(D90=-20,E90=100)=TRUE,0.98*D90,IF(AND(D90=-35,E90=300)=TRUE,0.98*D90,IF(AND(D90=-100,E90=160)=TRUE,80,IF(AND(D90=-100,E90=900)=TRUE,80,"x")))))))</f>
        <v/>
      </c>
      <c r="G90" s="82">
        <f>IF(AND(D90&lt;0,E90=0)=TRUE,0.75*D90,IF(AND(D90=0,E90&gt;0)=TRUE,0.25*E90,IF(D90=-E90,0.5*D90,IF(AND(D90=-20,E90=100)=TRUE,0,IF(AND(D90=-35,E90=300)=TRUE,0,IF(AND(D90=-100,E90=160)=TRUE,0,IF(AND(D90=-100,E90=900)=TRUE,0,"x")))))))</f>
        <v/>
      </c>
      <c r="H90" s="82">
        <f>IF(AND(D90&lt;0,E90=0)=TRUE,0.5*D90,IF(AND(D90=0,E90&gt;0)=TRUE,0.5*E90,IF(D90=-E90,0,IF(AND(D90=-20,E90=100)=TRUE,0.33*E90,IF(AND(D90=-35,E90=300)=TRUE,0.33*E90,IF(AND(D90=-100,E90=160)=TRUE,0.33*E90,IF(AND(D90=-100,E90=900)=TRUE,0.33*E90,"x")))))))</f>
        <v/>
      </c>
      <c r="I90" s="82">
        <f>IF(AND(D90&lt;0,E90=0)=TRUE,0.25*D90,IF(AND(D90=0,E90&gt;0)=TRUE,0.75*E90,IF(D90=-E90,0.5*E90,IF(AND(D90=-20,E90=100)=TRUE,0.66*E90,IF(AND(D90=-35,E90=300)=TRUE,0.66*E90,IF(AND(D90=-100,E90=160)=TRUE,0.66*E90,IF(AND(D90=-100,E90=900)=TRUE,0.66*E90,"x")))))))</f>
        <v/>
      </c>
      <c r="J90" s="83">
        <f>IF(AND(D90&lt;0,E90=0)=TRUE,0*D90,IF(AND(D90=0,E90&gt;0)=TRUE,0.98*E90,IF(D90=-E90,0.98*E90,IF(AND(D90=-20,E90=100)=TRUE,0.98*E90,IF(AND(D90=-35,E90=300)=TRUE,0.98*E90,IF(AND(D90=-100,E90=160)=TRUE,0.98*E90,IF(AND(D90=-100,E90=900)=TRUE,0.98*E90,"x")))))))</f>
        <v/>
      </c>
      <c r="K90" s="386" t="inlineStr">
        <is>
          <t>Pass</t>
        </is>
      </c>
      <c r="L90" s="387" t="inlineStr">
        <is>
          <t>A</t>
        </is>
      </c>
      <c r="M90" s="84">
        <f>F90</f>
        <v/>
      </c>
      <c r="N90" s="85">
        <f>G90</f>
        <v/>
      </c>
      <c r="O90" s="86">
        <f>H90</f>
        <v/>
      </c>
      <c r="P90" s="85">
        <f>I90</f>
        <v/>
      </c>
      <c r="Q90" s="87">
        <f>J90</f>
        <v/>
      </c>
      <c r="R90" s="388" t="inlineStr">
        <is>
          <t>kPa</t>
        </is>
      </c>
      <c r="S90" s="389">
        <f>IF(D90&lt;E90,(E90-D90)*0.002,"x")</f>
        <v/>
      </c>
      <c r="T90" s="388" t="n"/>
      <c r="U90" s="35" t="n"/>
    </row>
    <row r="91" ht="13" customHeight="1" thickBot="1">
      <c r="A91" s="38" t="n"/>
      <c r="B91" s="390" t="n"/>
      <c r="C91" s="390" t="n"/>
      <c r="D91" s="390" t="n"/>
      <c r="E91" s="391" t="n"/>
      <c r="F91" s="392" t="n"/>
      <c r="G91" s="393" t="n"/>
      <c r="H91" s="393" t="n"/>
      <c r="I91" s="393" t="n"/>
      <c r="J91" s="394" t="n"/>
      <c r="K91" s="390" t="n"/>
      <c r="L91" s="390" t="n"/>
      <c r="M91" s="392" t="n"/>
      <c r="N91" s="392" t="n"/>
      <c r="O91" s="392" t="n"/>
      <c r="P91" s="392" t="n"/>
      <c r="Q91" s="392" t="n"/>
      <c r="R91" s="390" t="n"/>
      <c r="S91" s="395" t="n"/>
      <c r="T91" s="390" t="n"/>
      <c r="U91" s="35" t="n"/>
    </row>
    <row r="92" ht="13" customHeight="1" thickBot="1">
      <c r="A92" s="38" t="n"/>
      <c r="B92" s="247" t="n">
        <v>35</v>
      </c>
      <c r="C92" s="247" t="inlineStr">
        <is>
          <t>PTX 35</t>
        </is>
      </c>
      <c r="D92" s="247" t="n">
        <v>0</v>
      </c>
      <c r="E92" s="385" t="n">
        <v>600</v>
      </c>
      <c r="F92" s="126">
        <f>IF(AND(D92&lt;0,E92=0)=TRUE,0.98*D92,IF(AND(D92=0,E92&gt;0)=TRUE,0,IF(D92=-E92,0.98*D92,IF(AND(D92=-20,E92=100)=TRUE,0.98*D92,IF(AND(D92=-35,E92=300)=TRUE,0.98*D92,IF(AND(D92=-100,E92=160)=TRUE,80,IF(AND(D92=-100,E92=900)=TRUE,80,"x")))))))</f>
        <v/>
      </c>
      <c r="G92" s="82">
        <f>IF(AND(D92&lt;0,E92=0)=TRUE,0.75*D92,IF(AND(D92=0,E92&gt;0)=TRUE,0.25*E92,IF(D92=-E92,0.5*D92,IF(AND(D92=-20,E92=100)=TRUE,0,IF(AND(D92=-35,E92=300)=TRUE,0,IF(AND(D92=-100,E92=160)=TRUE,0,IF(AND(D92=-100,E92=900)=TRUE,0,"x")))))))</f>
        <v/>
      </c>
      <c r="H92" s="82">
        <f>IF(AND(D92&lt;0,E92=0)=TRUE,0.5*D92,IF(AND(D92=0,E92&gt;0)=TRUE,0.5*E92,IF(D92=-E92,0,IF(AND(D92=-20,E92=100)=TRUE,0.33*E92,IF(AND(D92=-35,E92=300)=TRUE,0.33*E92,IF(AND(D92=-100,E92=160)=TRUE,0.33*E92,IF(AND(D92=-100,E92=900)=TRUE,0.33*E92,"x")))))))</f>
        <v/>
      </c>
      <c r="I92" s="82">
        <f>IF(AND(D92&lt;0,E92=0)=TRUE,0.25*D92,IF(AND(D92=0,E92&gt;0)=TRUE,0.75*E92,IF(D92=-E92,0.5*E92,IF(AND(D92=-20,E92=100)=TRUE,0.66*E92,IF(AND(D92=-35,E92=300)=TRUE,0.66*E92,IF(AND(D92=-100,E92=160)=TRUE,0.66*E92,IF(AND(D92=-100,E92=900)=TRUE,0.66*E92,"x")))))))</f>
        <v/>
      </c>
      <c r="J92" s="83">
        <f>IF(AND(D92&lt;0,E92=0)=TRUE,0*D92,IF(AND(D92=0,E92&gt;0)=TRUE,0.98*E92,IF(D92=-E92,0.98*E92,IF(AND(D92=-20,E92=100)=TRUE,0.98*E92,IF(AND(D92=-35,E92=300)=TRUE,0.98*E92,IF(AND(D92=-100,E92=160)=TRUE,0.98*E92,IF(AND(D92=-100,E92=900)=TRUE,0.98*E92,"x")))))))</f>
        <v/>
      </c>
      <c r="K92" s="386" t="inlineStr">
        <is>
          <t>Pass</t>
        </is>
      </c>
      <c r="L92" s="387" t="inlineStr">
        <is>
          <t>A</t>
        </is>
      </c>
      <c r="M92" s="84">
        <f>F92</f>
        <v/>
      </c>
      <c r="N92" s="85">
        <f>G92</f>
        <v/>
      </c>
      <c r="O92" s="86">
        <f>H92</f>
        <v/>
      </c>
      <c r="P92" s="85">
        <f>I92</f>
        <v/>
      </c>
      <c r="Q92" s="87">
        <f>J92</f>
        <v/>
      </c>
      <c r="R92" s="388" t="inlineStr">
        <is>
          <t>kPa</t>
        </is>
      </c>
      <c r="S92" s="389">
        <f>IF(D92&lt;E92,(E92-D92)*0.002,"x")</f>
        <v/>
      </c>
      <c r="T92" s="388" t="n"/>
      <c r="U92" s="35" t="n"/>
    </row>
    <row r="93" ht="13" customHeight="1" thickBot="1">
      <c r="A93" s="38" t="n"/>
      <c r="B93" s="390" t="n"/>
      <c r="C93" s="390" t="n"/>
      <c r="D93" s="390" t="n"/>
      <c r="E93" s="391" t="n"/>
      <c r="F93" s="392" t="n"/>
      <c r="G93" s="393" t="n"/>
      <c r="H93" s="393" t="n"/>
      <c r="I93" s="393" t="n"/>
      <c r="J93" s="394" t="n"/>
      <c r="K93" s="390" t="n"/>
      <c r="L93" s="390" t="n"/>
      <c r="M93" s="392" t="n"/>
      <c r="N93" s="392" t="n"/>
      <c r="O93" s="392" t="n"/>
      <c r="P93" s="392" t="n"/>
      <c r="Q93" s="392" t="n"/>
      <c r="R93" s="390" t="n"/>
      <c r="S93" s="395" t="n"/>
      <c r="T93" s="390" t="n"/>
      <c r="U93" s="35" t="n"/>
    </row>
    <row r="94" ht="13" customHeight="1" thickBot="1">
      <c r="A94" s="38" t="n"/>
      <c r="B94" s="247" t="n">
        <v>36</v>
      </c>
      <c r="C94" s="247" t="inlineStr">
        <is>
          <t>PTX 36</t>
        </is>
      </c>
      <c r="D94" s="247" t="n">
        <v>0</v>
      </c>
      <c r="E94" s="385" t="n">
        <v>600</v>
      </c>
      <c r="F94" s="126">
        <f>IF(AND(D94&lt;0,E94=0)=TRUE,0.98*D94,IF(AND(D94=0,E94&gt;0)=TRUE,0,IF(D94=-E94,0.98*D94,IF(AND(D94=-20,E94=100)=TRUE,0.98*D94,IF(AND(D94=-35,E94=300)=TRUE,0.98*D94,IF(AND(D94=-100,E94=160)=TRUE,80,IF(AND(D94=-100,E94=900)=TRUE,80,"x")))))))</f>
        <v/>
      </c>
      <c r="G94" s="82">
        <f>IF(AND(D94&lt;0,E94=0)=TRUE,0.75*D94,IF(AND(D94=0,E94&gt;0)=TRUE,0.25*E94,IF(D94=-E94,0.5*D94,IF(AND(D94=-20,E94=100)=TRUE,0,IF(AND(D94=-35,E94=300)=TRUE,0,IF(AND(D94=-100,E94=160)=TRUE,0,IF(AND(D94=-100,E94=900)=TRUE,0,"x")))))))</f>
        <v/>
      </c>
      <c r="H94" s="82">
        <f>IF(AND(D94&lt;0,E94=0)=TRUE,0.5*D94,IF(AND(D94=0,E94&gt;0)=TRUE,0.5*E94,IF(D94=-E94,0,IF(AND(D94=-20,E94=100)=TRUE,0.33*E94,IF(AND(D94=-35,E94=300)=TRUE,0.33*E94,IF(AND(D94=-100,E94=160)=TRUE,0.33*E94,IF(AND(D94=-100,E94=900)=TRUE,0.33*E94,"x")))))))</f>
        <v/>
      </c>
      <c r="I94" s="82">
        <f>IF(AND(D94&lt;0,E94=0)=TRUE,0.25*D94,IF(AND(D94=0,E94&gt;0)=TRUE,0.75*E94,IF(D94=-E94,0.5*E94,IF(AND(D94=-20,E94=100)=TRUE,0.66*E94,IF(AND(D94=-35,E94=300)=TRUE,0.66*E94,IF(AND(D94=-100,E94=160)=TRUE,0.66*E94,IF(AND(D94=-100,E94=900)=TRUE,0.66*E94,"x")))))))</f>
        <v/>
      </c>
      <c r="J94" s="83">
        <f>IF(AND(D94&lt;0,E94=0)=TRUE,0*D94,IF(AND(D94=0,E94&gt;0)=TRUE,0.98*E94,IF(D94=-E94,0.98*E94,IF(AND(D94=-20,E94=100)=TRUE,0.98*E94,IF(AND(D94=-35,E94=300)=TRUE,0.98*E94,IF(AND(D94=-100,E94=160)=TRUE,0.98*E94,IF(AND(D94=-100,E94=900)=TRUE,0.98*E94,"x")))))))</f>
        <v/>
      </c>
      <c r="K94" s="386" t="inlineStr">
        <is>
          <t>Pass</t>
        </is>
      </c>
      <c r="L94" s="387" t="inlineStr">
        <is>
          <t>A</t>
        </is>
      </c>
      <c r="M94" s="84">
        <f>F94</f>
        <v/>
      </c>
      <c r="N94" s="85">
        <f>G94</f>
        <v/>
      </c>
      <c r="O94" s="86">
        <f>H94</f>
        <v/>
      </c>
      <c r="P94" s="85">
        <f>I94</f>
        <v/>
      </c>
      <c r="Q94" s="87">
        <f>J94</f>
        <v/>
      </c>
      <c r="R94" s="388" t="inlineStr">
        <is>
          <t>kPa</t>
        </is>
      </c>
      <c r="S94" s="389">
        <f>IF(D94&lt;E94,(E94-D94)*0.002,"x")</f>
        <v/>
      </c>
      <c r="T94" s="388" t="n"/>
      <c r="U94" s="35" t="n"/>
    </row>
    <row r="95" ht="13" customHeight="1" thickBot="1">
      <c r="A95" s="38" t="n"/>
      <c r="B95" s="390" t="n"/>
      <c r="C95" s="390" t="n"/>
      <c r="D95" s="390" t="n"/>
      <c r="E95" s="391" t="n"/>
      <c r="F95" s="392" t="n"/>
      <c r="G95" s="393" t="n"/>
      <c r="H95" s="393" t="n"/>
      <c r="I95" s="393" t="n"/>
      <c r="J95" s="394" t="n"/>
      <c r="K95" s="390" t="n"/>
      <c r="L95" s="390" t="n"/>
      <c r="M95" s="392" t="n"/>
      <c r="N95" s="392" t="n"/>
      <c r="O95" s="392" t="n"/>
      <c r="P95" s="392" t="n"/>
      <c r="Q95" s="392" t="n"/>
      <c r="R95" s="390" t="n"/>
      <c r="S95" s="395" t="n"/>
      <c r="T95" s="390" t="n"/>
      <c r="U95" s="35" t="n"/>
    </row>
    <row r="96" ht="13" customHeight="1" thickBot="1">
      <c r="A96" s="38" t="n"/>
      <c r="B96" s="247" t="n">
        <v>37</v>
      </c>
      <c r="C96" s="247" t="inlineStr">
        <is>
          <t>PTX 37</t>
        </is>
      </c>
      <c r="D96" s="247" t="n">
        <v>0</v>
      </c>
      <c r="E96" s="385" t="n">
        <v>600</v>
      </c>
      <c r="F96" s="126">
        <f>IF(AND(D96&lt;0,E96=0)=TRUE,0.98*D96,IF(AND(D96=0,E96&gt;0)=TRUE,0,IF(D96=-E96,0.98*D96,IF(AND(D96=-20,E96=100)=TRUE,0.98*D96,IF(AND(D96=-35,E96=300)=TRUE,0.98*D96,IF(AND(D96=-100,E96=160)=TRUE,80,IF(AND(D96=-100,E96=900)=TRUE,80,"x")))))))</f>
        <v/>
      </c>
      <c r="G96" s="82">
        <f>IF(AND(D96&lt;0,E96=0)=TRUE,0.75*D96,IF(AND(D96=0,E96&gt;0)=TRUE,0.25*E96,IF(D96=-E96,0.5*D96,IF(AND(D96=-20,E96=100)=TRUE,0,IF(AND(D96=-35,E96=300)=TRUE,0,IF(AND(D96=-100,E96=160)=TRUE,0,IF(AND(D96=-100,E96=900)=TRUE,0,"x")))))))</f>
        <v/>
      </c>
      <c r="H96" s="82">
        <f>IF(AND(D96&lt;0,E96=0)=TRUE,0.5*D96,IF(AND(D96=0,E96&gt;0)=TRUE,0.5*E96,IF(D96=-E96,0,IF(AND(D96=-20,E96=100)=TRUE,0.33*E96,IF(AND(D96=-35,E96=300)=TRUE,0.33*E96,IF(AND(D96=-100,E96=160)=TRUE,0.33*E96,IF(AND(D96=-100,E96=900)=TRUE,0.33*E96,"x")))))))</f>
        <v/>
      </c>
      <c r="I96" s="82">
        <f>IF(AND(D96&lt;0,E96=0)=TRUE,0.25*D96,IF(AND(D96=0,E96&gt;0)=TRUE,0.75*E96,IF(D96=-E96,0.5*E96,IF(AND(D96=-20,E96=100)=TRUE,0.66*E96,IF(AND(D96=-35,E96=300)=TRUE,0.66*E96,IF(AND(D96=-100,E96=160)=TRUE,0.66*E96,IF(AND(D96=-100,E96=900)=TRUE,0.66*E96,"x")))))))</f>
        <v/>
      </c>
      <c r="J96" s="83">
        <f>IF(AND(D96&lt;0,E96=0)=TRUE,0*D96,IF(AND(D96=0,E96&gt;0)=TRUE,0.98*E96,IF(D96=-E96,0.98*E96,IF(AND(D96=-20,E96=100)=TRUE,0.98*E96,IF(AND(D96=-35,E96=300)=TRUE,0.98*E96,IF(AND(D96=-100,E96=160)=TRUE,0.98*E96,IF(AND(D96=-100,E96=900)=TRUE,0.98*E96,"x")))))))</f>
        <v/>
      </c>
      <c r="K96" s="386" t="inlineStr">
        <is>
          <t>Pass</t>
        </is>
      </c>
      <c r="L96" s="387" t="inlineStr">
        <is>
          <t>A</t>
        </is>
      </c>
      <c r="M96" s="84">
        <f>F96</f>
        <v/>
      </c>
      <c r="N96" s="85">
        <f>G96</f>
        <v/>
      </c>
      <c r="O96" s="86">
        <f>H96</f>
        <v/>
      </c>
      <c r="P96" s="85">
        <f>I96</f>
        <v/>
      </c>
      <c r="Q96" s="87">
        <f>J96</f>
        <v/>
      </c>
      <c r="R96" s="388" t="inlineStr">
        <is>
          <t>kPa</t>
        </is>
      </c>
      <c r="S96" s="389">
        <f>IF(D96&lt;E96,(E96-D96)*0.002,"x")</f>
        <v/>
      </c>
      <c r="T96" s="388" t="n"/>
      <c r="U96" s="35" t="n"/>
    </row>
    <row r="97" ht="13" customHeight="1" thickBot="1">
      <c r="A97" s="38" t="n"/>
      <c r="B97" s="390" t="n"/>
      <c r="C97" s="390" t="n"/>
      <c r="D97" s="390" t="n"/>
      <c r="E97" s="391" t="n"/>
      <c r="F97" s="392" t="n"/>
      <c r="G97" s="393" t="n"/>
      <c r="H97" s="393" t="n"/>
      <c r="I97" s="393" t="n"/>
      <c r="J97" s="394" t="n"/>
      <c r="K97" s="390" t="n"/>
      <c r="L97" s="390" t="n"/>
      <c r="M97" s="392" t="n"/>
      <c r="N97" s="392" t="n"/>
      <c r="O97" s="392" t="n"/>
      <c r="P97" s="392" t="n"/>
      <c r="Q97" s="392" t="n"/>
      <c r="R97" s="390" t="n"/>
      <c r="S97" s="395" t="n"/>
      <c r="T97" s="390" t="n"/>
      <c r="U97" s="35" t="n"/>
    </row>
    <row r="98" ht="13" customHeight="1" thickBot="1">
      <c r="A98" s="38" t="n"/>
      <c r="B98" s="247" t="n">
        <v>38</v>
      </c>
      <c r="C98" s="247" t="inlineStr">
        <is>
          <t>PTX 38</t>
        </is>
      </c>
      <c r="D98" s="247" t="n">
        <v>0</v>
      </c>
      <c r="E98" s="385" t="n">
        <v>600</v>
      </c>
      <c r="F98" s="126">
        <f>IF(AND(D98&lt;0,E98=0)=TRUE,0.98*D98,IF(AND(D98=0,E98&gt;0)=TRUE,0,IF(D98=-E98,0.98*D98,IF(AND(D98=-20,E98=100)=TRUE,0.98*D98,IF(AND(D98=-35,E98=300)=TRUE,0.98*D98,IF(AND(D98=-100,E98=160)=TRUE,80,IF(AND(D98=-100,E98=900)=TRUE,80,"x")))))))</f>
        <v/>
      </c>
      <c r="G98" s="82">
        <f>IF(AND(D98&lt;0,E98=0)=TRUE,0.75*D98,IF(AND(D98=0,E98&gt;0)=TRUE,0.25*E98,IF(D98=-E98,0.5*D98,IF(AND(D98=-20,E98=100)=TRUE,0,IF(AND(D98=-35,E98=300)=TRUE,0,IF(AND(D98=-100,E98=160)=TRUE,0,IF(AND(D98=-100,E98=900)=TRUE,0,"x")))))))</f>
        <v/>
      </c>
      <c r="H98" s="82">
        <f>IF(AND(D98&lt;0,E98=0)=TRUE,0.5*D98,IF(AND(D98=0,E98&gt;0)=TRUE,0.5*E98,IF(D98=-E98,0,IF(AND(D98=-20,E98=100)=TRUE,0.33*E98,IF(AND(D98=-35,E98=300)=TRUE,0.33*E98,IF(AND(D98=-100,E98=160)=TRUE,0.33*E98,IF(AND(D98=-100,E98=900)=TRUE,0.33*E98,"x")))))))</f>
        <v/>
      </c>
      <c r="I98" s="82">
        <f>IF(AND(D98&lt;0,E98=0)=TRUE,0.25*D98,IF(AND(D98=0,E98&gt;0)=TRUE,0.75*E98,IF(D98=-E98,0.5*E98,IF(AND(D98=-20,E98=100)=TRUE,0.66*E98,IF(AND(D98=-35,E98=300)=TRUE,0.66*E98,IF(AND(D98=-100,E98=160)=TRUE,0.66*E98,IF(AND(D98=-100,E98=900)=TRUE,0.66*E98,"x")))))))</f>
        <v/>
      </c>
      <c r="J98" s="83">
        <f>IF(AND(D98&lt;0,E98=0)=TRUE,0*D98,IF(AND(D98=0,E98&gt;0)=TRUE,0.98*E98,IF(D98=-E98,0.98*E98,IF(AND(D98=-20,E98=100)=TRUE,0.98*E98,IF(AND(D98=-35,E98=300)=TRUE,0.98*E98,IF(AND(D98=-100,E98=160)=TRUE,0.98*E98,IF(AND(D98=-100,E98=900)=TRUE,0.98*E98,"x")))))))</f>
        <v/>
      </c>
      <c r="K98" s="386" t="inlineStr">
        <is>
          <t>Pass</t>
        </is>
      </c>
      <c r="L98" s="387" t="inlineStr">
        <is>
          <t>A</t>
        </is>
      </c>
      <c r="M98" s="84">
        <f>F98</f>
        <v/>
      </c>
      <c r="N98" s="85">
        <f>G98</f>
        <v/>
      </c>
      <c r="O98" s="86">
        <f>H98</f>
        <v/>
      </c>
      <c r="P98" s="85">
        <f>I98</f>
        <v/>
      </c>
      <c r="Q98" s="87">
        <f>J98</f>
        <v/>
      </c>
      <c r="R98" s="388" t="inlineStr">
        <is>
          <t>kPa</t>
        </is>
      </c>
      <c r="S98" s="389">
        <f>IF(D98&lt;E98,(E98-D98)*0.002,"x")</f>
        <v/>
      </c>
      <c r="T98" s="388" t="n"/>
      <c r="U98" s="35" t="n"/>
    </row>
    <row r="99" ht="13" customHeight="1" thickBot="1">
      <c r="A99" s="38" t="n"/>
      <c r="B99" s="390" t="n"/>
      <c r="C99" s="390" t="n"/>
      <c r="D99" s="390" t="n"/>
      <c r="E99" s="391" t="n"/>
      <c r="F99" s="392" t="n"/>
      <c r="G99" s="393" t="n"/>
      <c r="H99" s="393" t="n"/>
      <c r="I99" s="393" t="n"/>
      <c r="J99" s="394" t="n"/>
      <c r="K99" s="390" t="n"/>
      <c r="L99" s="390" t="n"/>
      <c r="M99" s="392" t="n"/>
      <c r="N99" s="392" t="n"/>
      <c r="O99" s="392" t="n"/>
      <c r="P99" s="392" t="n"/>
      <c r="Q99" s="392" t="n"/>
      <c r="R99" s="390" t="n"/>
      <c r="S99" s="395" t="n"/>
      <c r="T99" s="390" t="n"/>
      <c r="U99" s="35" t="n"/>
    </row>
    <row r="100" ht="13" customHeight="1" thickBot="1">
      <c r="A100" s="38" t="n"/>
      <c r="B100" s="247" t="n">
        <v>39</v>
      </c>
      <c r="C100" s="247" t="inlineStr">
        <is>
          <t>PTX 39</t>
        </is>
      </c>
      <c r="D100" s="247" t="n">
        <v>0</v>
      </c>
      <c r="E100" s="385" t="n">
        <v>600</v>
      </c>
      <c r="F100" s="126">
        <f>IF(AND(D100&lt;0,E100=0)=TRUE,0.98*D100,IF(AND(D100=0,E100&gt;0)=TRUE,0,IF(D100=-E100,0.98*D100,IF(AND(D100=-20,E100=100)=TRUE,0.98*D100,IF(AND(D100=-35,E100=300)=TRUE,0.98*D100,IF(AND(D100=-100,E100=160)=TRUE,80,IF(AND(D100=-100,E100=900)=TRUE,80,"x")))))))</f>
        <v/>
      </c>
      <c r="G100" s="82">
        <f>IF(AND(D100&lt;0,E100=0)=TRUE,0.75*D100,IF(AND(D100=0,E100&gt;0)=TRUE,0.25*E100,IF(D100=-E100,0.5*D100,IF(AND(D100=-20,E100=100)=TRUE,0,IF(AND(D100=-35,E100=300)=TRUE,0,IF(AND(D100=-100,E100=160)=TRUE,0,IF(AND(D100=-100,E100=900)=TRUE,0,"x")))))))</f>
        <v/>
      </c>
      <c r="H100" s="82">
        <f>IF(AND(D100&lt;0,E100=0)=TRUE,0.5*D100,IF(AND(D100=0,E100&gt;0)=TRUE,0.5*E100,IF(D100=-E100,0,IF(AND(D100=-20,E100=100)=TRUE,0.33*E100,IF(AND(D100=-35,E100=300)=TRUE,0.33*E100,IF(AND(D100=-100,E100=160)=TRUE,0.33*E100,IF(AND(D100=-100,E100=900)=TRUE,0.33*E100,"x")))))))</f>
        <v/>
      </c>
      <c r="I100" s="82">
        <f>IF(AND(D100&lt;0,E100=0)=TRUE,0.25*D100,IF(AND(D100=0,E100&gt;0)=TRUE,0.75*E100,IF(D100=-E100,0.5*E100,IF(AND(D100=-20,E100=100)=TRUE,0.66*E100,IF(AND(D100=-35,E100=300)=TRUE,0.66*E100,IF(AND(D100=-100,E100=160)=TRUE,0.66*E100,IF(AND(D100=-100,E100=900)=TRUE,0.66*E100,"x")))))))</f>
        <v/>
      </c>
      <c r="J100" s="83">
        <f>IF(AND(D100&lt;0,E100=0)=TRUE,0*D100,IF(AND(D100=0,E100&gt;0)=TRUE,0.98*E100,IF(D100=-E100,0.98*E100,IF(AND(D100=-20,E100=100)=TRUE,0.98*E100,IF(AND(D100=-35,E100=300)=TRUE,0.98*E100,IF(AND(D100=-100,E100=160)=TRUE,0.98*E100,IF(AND(D100=-100,E100=900)=TRUE,0.98*E100,"x")))))))</f>
        <v/>
      </c>
      <c r="K100" s="386" t="inlineStr">
        <is>
          <t>Pass</t>
        </is>
      </c>
      <c r="L100" s="387" t="inlineStr">
        <is>
          <t>A</t>
        </is>
      </c>
      <c r="M100" s="84">
        <f>F100</f>
        <v/>
      </c>
      <c r="N100" s="85">
        <f>G100</f>
        <v/>
      </c>
      <c r="O100" s="86">
        <f>H100</f>
        <v/>
      </c>
      <c r="P100" s="85">
        <f>I100</f>
        <v/>
      </c>
      <c r="Q100" s="87">
        <f>J100</f>
        <v/>
      </c>
      <c r="R100" s="388" t="inlineStr">
        <is>
          <t>kPa</t>
        </is>
      </c>
      <c r="S100" s="389">
        <f>IF(D100&lt;E100,(E100-D100)*0.002,"x")</f>
        <v/>
      </c>
      <c r="T100" s="388" t="n"/>
      <c r="U100" s="35" t="n"/>
    </row>
    <row r="101" ht="13" customHeight="1" thickBot="1">
      <c r="A101" s="38" t="n"/>
      <c r="B101" s="390" t="n"/>
      <c r="C101" s="390" t="n"/>
      <c r="D101" s="390" t="n"/>
      <c r="E101" s="391" t="n"/>
      <c r="F101" s="392" t="n"/>
      <c r="G101" s="393" t="n"/>
      <c r="H101" s="393" t="n"/>
      <c r="I101" s="393" t="n"/>
      <c r="J101" s="394" t="n"/>
      <c r="K101" s="390" t="n"/>
      <c r="L101" s="390" t="n"/>
      <c r="M101" s="392" t="n"/>
      <c r="N101" s="392" t="n"/>
      <c r="O101" s="392" t="n"/>
      <c r="P101" s="392" t="n"/>
      <c r="Q101" s="392" t="n"/>
      <c r="R101" s="390" t="n"/>
      <c r="S101" s="395" t="n"/>
      <c r="T101" s="390" t="n"/>
      <c r="U101" s="35" t="n"/>
    </row>
    <row r="102" ht="13" customHeight="1" thickBot="1">
      <c r="A102" s="38" t="n"/>
      <c r="B102" s="247" t="n">
        <v>40</v>
      </c>
      <c r="C102" s="247" t="inlineStr">
        <is>
          <t>PTX 40</t>
        </is>
      </c>
      <c r="D102" s="247" t="n">
        <v>0</v>
      </c>
      <c r="E102" s="385" t="n">
        <v>600</v>
      </c>
      <c r="F102" s="126">
        <f>IF(AND(D102&lt;0,E102=0)=TRUE,0.98*D102,IF(AND(D102=0,E102&gt;0)=TRUE,0,IF(D102=-E102,0.98*D102,IF(AND(D102=-20,E102=100)=TRUE,0.98*D102,IF(AND(D102=-35,E102=300)=TRUE,0.98*D102,IF(AND(D102=-100,E102=160)=TRUE,80,IF(AND(D102=-100,E102=900)=TRUE,80,"x")))))))</f>
        <v/>
      </c>
      <c r="G102" s="82">
        <f>IF(AND(D102&lt;0,E102=0)=TRUE,0.75*D102,IF(AND(D102=0,E102&gt;0)=TRUE,0.25*E102,IF(D102=-E102,0.5*D102,IF(AND(D102=-20,E102=100)=TRUE,0,IF(AND(D102=-35,E102=300)=TRUE,0,IF(AND(D102=-100,E102=160)=TRUE,0,IF(AND(D102=-100,E102=900)=TRUE,0,"x")))))))</f>
        <v/>
      </c>
      <c r="H102" s="82">
        <f>IF(AND(D102&lt;0,E102=0)=TRUE,0.5*D102,IF(AND(D102=0,E102&gt;0)=TRUE,0.5*E102,IF(D102=-E102,0,IF(AND(D102=-20,E102=100)=TRUE,0.33*E102,IF(AND(D102=-35,E102=300)=TRUE,0.33*E102,IF(AND(D102=-100,E102=160)=TRUE,0.33*E102,IF(AND(D102=-100,E102=900)=TRUE,0.33*E102,"x")))))))</f>
        <v/>
      </c>
      <c r="I102" s="82">
        <f>IF(AND(D102&lt;0,E102=0)=TRUE,0.25*D102,IF(AND(D102=0,E102&gt;0)=TRUE,0.75*E102,IF(D102=-E102,0.5*E102,IF(AND(D102=-20,E102=100)=TRUE,0.66*E102,IF(AND(D102=-35,E102=300)=TRUE,0.66*E102,IF(AND(D102=-100,E102=160)=TRUE,0.66*E102,IF(AND(D102=-100,E102=900)=TRUE,0.66*E102,"x")))))))</f>
        <v/>
      </c>
      <c r="J102" s="83">
        <f>IF(AND(D102&lt;0,E102=0)=TRUE,0*D102,IF(AND(D102=0,E102&gt;0)=TRUE,0.98*E102,IF(D102=-E102,0.98*E102,IF(AND(D102=-20,E102=100)=TRUE,0.98*E102,IF(AND(D102=-35,E102=300)=TRUE,0.98*E102,IF(AND(D102=-100,E102=160)=TRUE,0.98*E102,IF(AND(D102=-100,E102=900)=TRUE,0.98*E102,"x")))))))</f>
        <v/>
      </c>
      <c r="K102" s="386" t="inlineStr">
        <is>
          <t>Pass</t>
        </is>
      </c>
      <c r="L102" s="387" t="inlineStr">
        <is>
          <t>A</t>
        </is>
      </c>
      <c r="M102" s="84">
        <f>F102</f>
        <v/>
      </c>
      <c r="N102" s="85">
        <f>G102</f>
        <v/>
      </c>
      <c r="O102" s="86">
        <f>H102</f>
        <v/>
      </c>
      <c r="P102" s="85">
        <f>I102</f>
        <v/>
      </c>
      <c r="Q102" s="87">
        <f>J102</f>
        <v/>
      </c>
      <c r="R102" s="388" t="inlineStr">
        <is>
          <t>kPa</t>
        </is>
      </c>
      <c r="S102" s="389">
        <f>IF(D102&lt;E102,(E102-D102)*0.002,"x")</f>
        <v/>
      </c>
      <c r="T102" s="388" t="n"/>
      <c r="U102" s="35" t="n"/>
    </row>
    <row r="103" ht="13" customHeight="1" thickBot="1">
      <c r="A103" s="38" t="n"/>
      <c r="B103" s="390" t="n"/>
      <c r="C103" s="390" t="n"/>
      <c r="D103" s="390" t="n"/>
      <c r="E103" s="391" t="n"/>
      <c r="F103" s="392" t="n"/>
      <c r="G103" s="393" t="n"/>
      <c r="H103" s="393" t="n"/>
      <c r="I103" s="393" t="n"/>
      <c r="J103" s="394" t="n"/>
      <c r="K103" s="390" t="n"/>
      <c r="L103" s="390" t="n"/>
      <c r="M103" s="392" t="n"/>
      <c r="N103" s="392" t="n"/>
      <c r="O103" s="392" t="n"/>
      <c r="P103" s="392" t="n"/>
      <c r="Q103" s="392" t="n"/>
      <c r="R103" s="390" t="n"/>
      <c r="S103" s="395" t="n"/>
      <c r="T103" s="390" t="n"/>
      <c r="U103" s="35" t="n"/>
    </row>
    <row r="104" ht="13" customHeight="1" thickBot="1">
      <c r="A104" s="38" t="n"/>
      <c r="B104" s="9" t="n"/>
      <c r="C104" s="9" t="n"/>
      <c r="D104" s="9" t="n"/>
      <c r="E104" s="9" t="inlineStr">
        <is>
          <t xml:space="preserve">         Pre-Cals. Checked By.</t>
        </is>
      </c>
      <c r="F104" s="377" t="inlineStr">
        <is>
          <t>CD</t>
        </is>
      </c>
      <c r="G104" s="378" t="n"/>
      <c r="H104" s="13" t="n"/>
      <c r="I104" s="13" t="n"/>
      <c r="J104" s="13" t="n"/>
      <c r="K104" s="13" t="n"/>
      <c r="L104" s="13" t="n"/>
      <c r="M104" s="13" t="n"/>
      <c r="N104" s="13" t="n"/>
      <c r="O104" s="13" t="n"/>
      <c r="P104" s="13" t="n"/>
      <c r="Q104" s="13" t="n"/>
      <c r="R104" s="13" t="n"/>
      <c r="S104" s="13" t="n"/>
      <c r="T104" s="13" t="n"/>
      <c r="U104" s="35" t="n"/>
    </row>
    <row r="105">
      <c r="A105" s="38" t="n"/>
      <c r="B105" s="22" t="n"/>
      <c r="C105" s="13" t="n"/>
      <c r="D105" s="13" t="n"/>
      <c r="E105" s="13" t="n"/>
      <c r="F105" s="13" t="n"/>
      <c r="G105" s="9" t="n"/>
      <c r="H105" s="9" t="n"/>
      <c r="I105" s="9" t="n"/>
      <c r="J105" s="9" t="n"/>
      <c r="K105" s="9" t="n"/>
      <c r="L105" s="12" t="n"/>
      <c r="M105" s="13" t="n"/>
      <c r="N105" s="396" t="n"/>
      <c r="O105" s="396" t="n"/>
      <c r="P105" s="13" t="n"/>
      <c r="Q105" s="13" t="n"/>
      <c r="R105" s="13" t="n"/>
      <c r="S105" s="13" t="n"/>
      <c r="T105" s="13" t="n"/>
      <c r="U105" s="35" t="n"/>
    </row>
    <row r="106" ht="13" customHeight="1" thickBot="1">
      <c r="A106" s="38" t="n"/>
      <c r="B106" s="22" t="n"/>
      <c r="C106" s="9" t="n"/>
      <c r="D106" s="9" t="n"/>
      <c r="E106" s="9" t="inlineStr">
        <is>
          <t xml:space="preserve">Pressure Calibrator Used. </t>
        </is>
      </c>
      <c r="F106" s="256" t="inlineStr">
        <is>
          <t>DEVT No.</t>
        </is>
      </c>
      <c r="G106" s="397" t="n"/>
      <c r="H106" s="256" t="inlineStr">
        <is>
          <t>Make / Model</t>
        </is>
      </c>
      <c r="I106" s="397" t="n"/>
      <c r="J106" s="397" t="n"/>
      <c r="K106" s="256" t="inlineStr">
        <is>
          <t>Serial Number</t>
        </is>
      </c>
      <c r="L106" s="397" t="n"/>
      <c r="M106" s="397" t="n"/>
      <c r="N106" s="256" t="inlineStr">
        <is>
          <t>Calibration Next Due</t>
        </is>
      </c>
      <c r="O106" s="397" t="n"/>
      <c r="P106" s="397" t="n"/>
      <c r="Q106" s="13" t="n"/>
      <c r="R106" s="13" t="n"/>
      <c r="S106" s="13" t="n"/>
      <c r="T106" s="13" t="n"/>
      <c r="U106" s="35" t="n"/>
    </row>
    <row r="107">
      <c r="A107" s="38" t="n"/>
      <c r="B107" s="22" t="n"/>
      <c r="C107" s="13" t="n"/>
      <c r="D107" s="13" t="n"/>
      <c r="E107" s="88" t="inlineStr">
        <is>
          <t xml:space="preserve">Range A. </t>
        </is>
      </c>
      <c r="F107" s="398">
        <f>F52</f>
        <v/>
      </c>
      <c r="G107" s="399" t="n"/>
      <c r="H107" s="400">
        <f>H52</f>
        <v/>
      </c>
      <c r="I107" s="401" t="n"/>
      <c r="J107" s="399" t="n"/>
      <c r="K107" s="402">
        <f>K52</f>
        <v/>
      </c>
      <c r="L107" s="401" t="n"/>
      <c r="M107" s="399" t="n"/>
      <c r="N107" s="403">
        <f>N52</f>
        <v/>
      </c>
      <c r="O107" s="401" t="n"/>
      <c r="P107" s="404" t="n"/>
      <c r="Q107" s="396" t="n"/>
      <c r="R107" s="396" t="inlineStr">
        <is>
          <t>Where</t>
        </is>
      </c>
      <c r="S107" s="89" t="inlineStr">
        <is>
          <t>set point</t>
        </is>
      </c>
      <c r="T107" s="13" t="inlineStr">
        <is>
          <t>are the</t>
        </is>
      </c>
      <c r="U107" s="35" t="n"/>
    </row>
    <row r="108">
      <c r="A108" s="38" t="n"/>
      <c r="B108" s="22" t="n"/>
      <c r="C108" s="13" t="n"/>
      <c r="D108" s="13" t="n"/>
      <c r="E108" s="88" t="inlineStr">
        <is>
          <t xml:space="preserve">Range B. </t>
        </is>
      </c>
      <c r="F108" s="405" t="n"/>
      <c r="G108" s="406" t="n"/>
      <c r="H108" s="407" t="n"/>
      <c r="I108" s="408" t="n"/>
      <c r="J108" s="406" t="n"/>
      <c r="K108" s="409" t="n"/>
      <c r="L108" s="408" t="n"/>
      <c r="M108" s="406" t="n"/>
      <c r="N108" s="410" t="n"/>
      <c r="O108" s="408" t="n"/>
      <c r="P108" s="411" t="n"/>
      <c r="Q108" s="13" t="n"/>
      <c r="R108" s="13" t="n"/>
      <c r="S108" s="22" t="inlineStr">
        <is>
          <t>calibration points.</t>
        </is>
      </c>
      <c r="T108" s="12" t="n"/>
      <c r="U108" s="35" t="n"/>
    </row>
    <row r="109" ht="13" customHeight="1" thickBot="1">
      <c r="A109" s="38" t="n"/>
      <c r="B109" s="22" t="n"/>
      <c r="C109" s="13" t="n"/>
      <c r="D109" s="13" t="n"/>
      <c r="E109" s="88" t="inlineStr">
        <is>
          <t xml:space="preserve">Range C. </t>
        </is>
      </c>
      <c r="F109" s="412" t="n"/>
      <c r="G109" s="413" t="n"/>
      <c r="H109" s="414" t="n"/>
      <c r="I109" s="415" t="n"/>
      <c r="J109" s="413" t="n"/>
      <c r="K109" s="416" t="n"/>
      <c r="L109" s="415" t="n"/>
      <c r="M109" s="413" t="n"/>
      <c r="N109" s="417" t="n"/>
      <c r="O109" s="415" t="n"/>
      <c r="P109" s="418" t="n"/>
      <c r="Q109" s="9" t="n"/>
      <c r="R109" s="9" t="n"/>
      <c r="S109" s="13" t="n"/>
      <c r="T109" s="13" t="n"/>
      <c r="U109" s="35" t="n"/>
    </row>
    <row r="110" ht="13" customHeight="1" thickBot="1">
      <c r="A110" s="90" t="n"/>
      <c r="B110" s="91" t="n"/>
      <c r="C110" s="91" t="n"/>
      <c r="D110" s="91" t="n"/>
      <c r="E110" s="91" t="n"/>
      <c r="F110" s="91" t="n"/>
      <c r="G110" s="91" t="n"/>
      <c r="H110" s="91" t="n"/>
      <c r="I110" s="91" t="n"/>
      <c r="J110" s="91" t="n"/>
      <c r="K110" s="91" t="n"/>
      <c r="L110" s="91" t="n"/>
      <c r="M110" s="91" t="n"/>
      <c r="N110" s="91" t="n"/>
      <c r="O110" s="91" t="n"/>
      <c r="P110" s="92" t="n"/>
      <c r="Q110" s="91" t="n"/>
      <c r="R110" s="91" t="n"/>
      <c r="S110" s="91" t="n"/>
      <c r="T110" s="91" t="n"/>
      <c r="U110" s="39" t="n"/>
    </row>
    <row r="111" ht="13" customHeight="1" thickTop="1"/>
  </sheetData>
  <mergeCells count="406">
    <mergeCell ref="K88:K89"/>
    <mergeCell ref="R13:R14"/>
    <mergeCell ref="R84:R85"/>
    <mergeCell ref="E88:E89"/>
    <mergeCell ref="T78:T79"/>
    <mergeCell ref="D21:D22"/>
    <mergeCell ref="K106:M106"/>
    <mergeCell ref="F108:G108"/>
    <mergeCell ref="R15:R16"/>
    <mergeCell ref="R86:R87"/>
    <mergeCell ref="B29:B30"/>
    <mergeCell ref="H109:J109"/>
    <mergeCell ref="R80:R81"/>
    <mergeCell ref="B23:B24"/>
    <mergeCell ref="T80:T81"/>
    <mergeCell ref="K27:K28"/>
    <mergeCell ref="T92:T93"/>
    <mergeCell ref="B37:B38"/>
    <mergeCell ref="F8:J8"/>
    <mergeCell ref="C27:C28"/>
    <mergeCell ref="B64:B65"/>
    <mergeCell ref="D64:D65"/>
    <mergeCell ref="N108:P108"/>
    <mergeCell ref="R33:R34"/>
    <mergeCell ref="E25:E26"/>
    <mergeCell ref="K9:K10"/>
    <mergeCell ref="L66:L67"/>
    <mergeCell ref="B90:B91"/>
    <mergeCell ref="E13:E14"/>
    <mergeCell ref="R74:R75"/>
    <mergeCell ref="B17:B18"/>
    <mergeCell ref="E78:E79"/>
    <mergeCell ref="D17:D18"/>
    <mergeCell ref="B11:B12"/>
    <mergeCell ref="C45:C46"/>
    <mergeCell ref="D11:D12"/>
    <mergeCell ref="S102:S103"/>
    <mergeCell ref="L68:L69"/>
    <mergeCell ref="T74:T75"/>
    <mergeCell ref="L43:L44"/>
    <mergeCell ref="S39:S40"/>
    <mergeCell ref="C47:C48"/>
    <mergeCell ref="S37:S38"/>
    <mergeCell ref="C76:C77"/>
    <mergeCell ref="E27:E28"/>
    <mergeCell ref="F109:G109"/>
    <mergeCell ref="R100:R101"/>
    <mergeCell ref="K66:K67"/>
    <mergeCell ref="T94:T95"/>
    <mergeCell ref="D37:D38"/>
    <mergeCell ref="L21:L22"/>
    <mergeCell ref="R102:R103"/>
    <mergeCell ref="T31:T32"/>
    <mergeCell ref="B45:B46"/>
    <mergeCell ref="T102:T103"/>
    <mergeCell ref="N109:P109"/>
    <mergeCell ref="R23:R24"/>
    <mergeCell ref="D88:D89"/>
    <mergeCell ref="D90:D91"/>
    <mergeCell ref="S27:S28"/>
    <mergeCell ref="D80:D81"/>
    <mergeCell ref="C84:C85"/>
    <mergeCell ref="E84:E85"/>
    <mergeCell ref="L74:L75"/>
    <mergeCell ref="R21:R22"/>
    <mergeCell ref="B98:B99"/>
    <mergeCell ref="E15:E16"/>
    <mergeCell ref="E86:E87"/>
    <mergeCell ref="L76:L77"/>
    <mergeCell ref="T100:T101"/>
    <mergeCell ref="H107:J107"/>
    <mergeCell ref="L9:L10"/>
    <mergeCell ref="T66:T67"/>
    <mergeCell ref="B33:B34"/>
    <mergeCell ref="T90:T91"/>
    <mergeCell ref="L90:L91"/>
    <mergeCell ref="L11:L12"/>
    <mergeCell ref="K74:K75"/>
    <mergeCell ref="N53:P53"/>
    <mergeCell ref="K68:K69"/>
    <mergeCell ref="R39:R40"/>
    <mergeCell ref="E43:E44"/>
    <mergeCell ref="B47:B48"/>
    <mergeCell ref="K76:K77"/>
    <mergeCell ref="B96:B97"/>
    <mergeCell ref="D96:D97"/>
    <mergeCell ref="L37:L38"/>
    <mergeCell ref="K52:M52"/>
    <mergeCell ref="L64:L65"/>
    <mergeCell ref="F51:G51"/>
    <mergeCell ref="T88:T89"/>
    <mergeCell ref="L88:L89"/>
    <mergeCell ref="K53:M53"/>
    <mergeCell ref="D33:D34"/>
    <mergeCell ref="K23:K24"/>
    <mergeCell ref="C72:C73"/>
    <mergeCell ref="T23:T24"/>
    <mergeCell ref="C96:C97"/>
    <mergeCell ref="N54:P54"/>
    <mergeCell ref="M8:Q8"/>
    <mergeCell ref="E100:E101"/>
    <mergeCell ref="H54:J54"/>
    <mergeCell ref="L17:L18"/>
    <mergeCell ref="B66:B67"/>
    <mergeCell ref="N51:P51"/>
    <mergeCell ref="T39:T40"/>
    <mergeCell ref="B41:B42"/>
    <mergeCell ref="E102:E103"/>
    <mergeCell ref="K64:K65"/>
    <mergeCell ref="L98:L99"/>
    <mergeCell ref="D35:D36"/>
    <mergeCell ref="D84:D85"/>
    <mergeCell ref="L19:L20"/>
    <mergeCell ref="E39:E40"/>
    <mergeCell ref="B43:B44"/>
    <mergeCell ref="N107:P107"/>
    <mergeCell ref="B86:B87"/>
    <mergeCell ref="F63:J63"/>
    <mergeCell ref="D86:D87"/>
    <mergeCell ref="S23:S24"/>
    <mergeCell ref="S66:S67"/>
    <mergeCell ref="R70:R71"/>
    <mergeCell ref="T21:T22"/>
    <mergeCell ref="K90:K91"/>
    <mergeCell ref="L45:L46"/>
    <mergeCell ref="S68:S69"/>
    <mergeCell ref="K82:K83"/>
    <mergeCell ref="T11:T12"/>
    <mergeCell ref="R96:R97"/>
    <mergeCell ref="T96:T97"/>
    <mergeCell ref="L96:L97"/>
    <mergeCell ref="C86:C87"/>
    <mergeCell ref="T27:T28"/>
    <mergeCell ref="T98:T99"/>
    <mergeCell ref="L80:L81"/>
    <mergeCell ref="K37:K38"/>
    <mergeCell ref="S4:T4"/>
    <mergeCell ref="C98:C99"/>
    <mergeCell ref="F54:G54"/>
    <mergeCell ref="E64:E65"/>
    <mergeCell ref="K72:K73"/>
    <mergeCell ref="T9:T10"/>
    <mergeCell ref="L33:L34"/>
    <mergeCell ref="A57:U57"/>
    <mergeCell ref="R17:R18"/>
    <mergeCell ref="T17:T18"/>
    <mergeCell ref="L35:L36"/>
    <mergeCell ref="L84:L85"/>
    <mergeCell ref="K17:K18"/>
    <mergeCell ref="S74:S75"/>
    <mergeCell ref="C17:C18"/>
    <mergeCell ref="C82:C83"/>
    <mergeCell ref="D102:D103"/>
    <mergeCell ref="L86:L87"/>
    <mergeCell ref="K19:K20"/>
    <mergeCell ref="S76:S77"/>
    <mergeCell ref="C19:C20"/>
    <mergeCell ref="D39:D40"/>
    <mergeCell ref="S88:S89"/>
    <mergeCell ref="T37:T38"/>
    <mergeCell ref="S11:S12"/>
    <mergeCell ref="T45:T46"/>
    <mergeCell ref="H52:J52"/>
    <mergeCell ref="H108:J108"/>
    <mergeCell ref="K45:K46"/>
    <mergeCell ref="B82:B83"/>
    <mergeCell ref="T68:T69"/>
    <mergeCell ref="K11:K12"/>
    <mergeCell ref="K47:K48"/>
    <mergeCell ref="K96:K97"/>
    <mergeCell ref="C70:C71"/>
    <mergeCell ref="B9:B10"/>
    <mergeCell ref="E70:E71"/>
    <mergeCell ref="K98:K99"/>
    <mergeCell ref="L41:L42"/>
    <mergeCell ref="S64:S65"/>
    <mergeCell ref="E80:E81"/>
    <mergeCell ref="C78:C79"/>
    <mergeCell ref="T19:T20"/>
    <mergeCell ref="R92:R93"/>
    <mergeCell ref="M59:O59"/>
    <mergeCell ref="T33:T34"/>
    <mergeCell ref="K51:M51"/>
    <mergeCell ref="B72:B73"/>
    <mergeCell ref="S96:S97"/>
    <mergeCell ref="K33:K34"/>
    <mergeCell ref="S90:S91"/>
    <mergeCell ref="C33:C34"/>
    <mergeCell ref="B70:B71"/>
    <mergeCell ref="S17:S18"/>
    <mergeCell ref="E33:E34"/>
    <mergeCell ref="D70:D71"/>
    <mergeCell ref="R94:R95"/>
    <mergeCell ref="H4:I4"/>
    <mergeCell ref="L102:L103"/>
    <mergeCell ref="K41:K42"/>
    <mergeCell ref="K35:K36"/>
    <mergeCell ref="C35:C36"/>
    <mergeCell ref="K84:K85"/>
    <mergeCell ref="S19:S20"/>
    <mergeCell ref="E35:E36"/>
    <mergeCell ref="B88:B89"/>
    <mergeCell ref="F104:G104"/>
    <mergeCell ref="K86:K87"/>
    <mergeCell ref="R76:R77"/>
    <mergeCell ref="B19:B20"/>
    <mergeCell ref="T76:T77"/>
    <mergeCell ref="F106:G106"/>
    <mergeCell ref="C13:C14"/>
    <mergeCell ref="S45:S46"/>
    <mergeCell ref="K25:K26"/>
    <mergeCell ref="S72:S73"/>
    <mergeCell ref="C15:C16"/>
    <mergeCell ref="S47:S48"/>
    <mergeCell ref="M63:Q63"/>
    <mergeCell ref="R29:R30"/>
    <mergeCell ref="C92:C93"/>
    <mergeCell ref="E92:E93"/>
    <mergeCell ref="S86:S87"/>
    <mergeCell ref="C29:C30"/>
    <mergeCell ref="R31:R32"/>
    <mergeCell ref="C94:C95"/>
    <mergeCell ref="E23:E24"/>
    <mergeCell ref="T35:T36"/>
    <mergeCell ref="B13:B14"/>
    <mergeCell ref="E74:E75"/>
    <mergeCell ref="D13:D14"/>
    <mergeCell ref="S98:S99"/>
    <mergeCell ref="C41:C42"/>
    <mergeCell ref="B78:B79"/>
    <mergeCell ref="T64:T65"/>
    <mergeCell ref="D78:D79"/>
    <mergeCell ref="L39:L40"/>
    <mergeCell ref="R72:R73"/>
    <mergeCell ref="B15:B16"/>
    <mergeCell ref="K43:K44"/>
    <mergeCell ref="D15:D16"/>
    <mergeCell ref="E76:E77"/>
    <mergeCell ref="C43:C44"/>
    <mergeCell ref="B80:B81"/>
    <mergeCell ref="T72:T73"/>
    <mergeCell ref="S33:S34"/>
    <mergeCell ref="K108:M108"/>
    <mergeCell ref="S35:S36"/>
    <mergeCell ref="R88:R89"/>
    <mergeCell ref="E21:E22"/>
    <mergeCell ref="R82:R83"/>
    <mergeCell ref="B25:B26"/>
    <mergeCell ref="N106:P106"/>
    <mergeCell ref="T82:T83"/>
    <mergeCell ref="F107:G107"/>
    <mergeCell ref="L82:L83"/>
    <mergeCell ref="R98:R99"/>
    <mergeCell ref="K29:K30"/>
    <mergeCell ref="B35:B36"/>
    <mergeCell ref="R19:R20"/>
    <mergeCell ref="K109:M109"/>
    <mergeCell ref="C100:C101"/>
    <mergeCell ref="C31:C32"/>
    <mergeCell ref="E31:E32"/>
    <mergeCell ref="R45:R46"/>
    <mergeCell ref="B84:B85"/>
    <mergeCell ref="M4:O4"/>
    <mergeCell ref="D25:D26"/>
    <mergeCell ref="R47:R48"/>
    <mergeCell ref="L72:L73"/>
    <mergeCell ref="B92:B93"/>
    <mergeCell ref="L70:L71"/>
    <mergeCell ref="B94:B95"/>
    <mergeCell ref="D23:D24"/>
    <mergeCell ref="S41:S42"/>
    <mergeCell ref="D94:D95"/>
    <mergeCell ref="B31:B32"/>
    <mergeCell ref="S43:S44"/>
    <mergeCell ref="E29:E30"/>
    <mergeCell ref="D76:D77"/>
    <mergeCell ref="R27:R28"/>
    <mergeCell ref="C80:C81"/>
    <mergeCell ref="K70:K71"/>
    <mergeCell ref="L25:L26"/>
    <mergeCell ref="T70:T71"/>
    <mergeCell ref="R35:R36"/>
    <mergeCell ref="T84:T85"/>
    <mergeCell ref="D92:D93"/>
    <mergeCell ref="E72:E73"/>
    <mergeCell ref="C39:C40"/>
    <mergeCell ref="H53:J53"/>
    <mergeCell ref="T86:T87"/>
    <mergeCell ref="D29:D30"/>
    <mergeCell ref="R9:R10"/>
    <mergeCell ref="F49:G49"/>
    <mergeCell ref="D31:D32"/>
    <mergeCell ref="R11:R12"/>
    <mergeCell ref="E96:E97"/>
    <mergeCell ref="B100:B101"/>
    <mergeCell ref="E17:E18"/>
    <mergeCell ref="L13:L14"/>
    <mergeCell ref="L78:L79"/>
    <mergeCell ref="N52:P52"/>
    <mergeCell ref="E98:E99"/>
    <mergeCell ref="B102:B103"/>
    <mergeCell ref="E19:E20"/>
    <mergeCell ref="L15:L16"/>
    <mergeCell ref="B39:B40"/>
    <mergeCell ref="L92:L93"/>
    <mergeCell ref="K107:M107"/>
    <mergeCell ref="S82:S83"/>
    <mergeCell ref="C25:C26"/>
    <mergeCell ref="S9:S10"/>
    <mergeCell ref="R37:R38"/>
    <mergeCell ref="L23:L24"/>
    <mergeCell ref="R66:R67"/>
    <mergeCell ref="R41:R42"/>
    <mergeCell ref="K13:K14"/>
    <mergeCell ref="H106:J106"/>
    <mergeCell ref="E45:E46"/>
    <mergeCell ref="K78:K79"/>
    <mergeCell ref="R68:R69"/>
    <mergeCell ref="F52:G52"/>
    <mergeCell ref="D19:D20"/>
    <mergeCell ref="R43:R44"/>
    <mergeCell ref="T43:T44"/>
    <mergeCell ref="E47:E48"/>
    <mergeCell ref="K54:M54"/>
    <mergeCell ref="D100:D101"/>
    <mergeCell ref="F53:G53"/>
    <mergeCell ref="D45:D46"/>
    <mergeCell ref="R25:R26"/>
    <mergeCell ref="T25:T26"/>
    <mergeCell ref="D72:D73"/>
    <mergeCell ref="D47:D48"/>
    <mergeCell ref="T41:T42"/>
    <mergeCell ref="L100:L101"/>
    <mergeCell ref="C66:C67"/>
    <mergeCell ref="L94:L95"/>
    <mergeCell ref="T13:T14"/>
    <mergeCell ref="E41:E42"/>
    <mergeCell ref="L31:L32"/>
    <mergeCell ref="T15:T16"/>
    <mergeCell ref="D98:D99"/>
    <mergeCell ref="S25:S26"/>
    <mergeCell ref="K15:K16"/>
    <mergeCell ref="K80:K81"/>
    <mergeCell ref="H51:J51"/>
    <mergeCell ref="B27:B28"/>
    <mergeCell ref="K92:K93"/>
    <mergeCell ref="D27:D28"/>
    <mergeCell ref="S59:T59"/>
    <mergeCell ref="S70:S71"/>
    <mergeCell ref="K94:K95"/>
    <mergeCell ref="L29:L30"/>
    <mergeCell ref="D9:D10"/>
    <mergeCell ref="S80:S81"/>
    <mergeCell ref="E66:E67"/>
    <mergeCell ref="C102:C103"/>
    <mergeCell ref="C74:C75"/>
    <mergeCell ref="C68:C69"/>
    <mergeCell ref="R64:R65"/>
    <mergeCell ref="E68:E69"/>
    <mergeCell ref="T29:T30"/>
    <mergeCell ref="E82:E83"/>
    <mergeCell ref="K100:K101"/>
    <mergeCell ref="A2:U2"/>
    <mergeCell ref="S13:S14"/>
    <mergeCell ref="D66:D67"/>
    <mergeCell ref="S84:S85"/>
    <mergeCell ref="S78:S79"/>
    <mergeCell ref="C21:C22"/>
    <mergeCell ref="E94:E95"/>
    <mergeCell ref="D41:D42"/>
    <mergeCell ref="K31:K32"/>
    <mergeCell ref="K102:K103"/>
    <mergeCell ref="B68:B69"/>
    <mergeCell ref="S15:S16"/>
    <mergeCell ref="D68:D69"/>
    <mergeCell ref="C23:C24"/>
    <mergeCell ref="D43:D44"/>
    <mergeCell ref="C64:C65"/>
    <mergeCell ref="R78:R79"/>
    <mergeCell ref="B21:B22"/>
    <mergeCell ref="K21:K22"/>
    <mergeCell ref="T47:T48"/>
    <mergeCell ref="L47:L48"/>
    <mergeCell ref="C88:C89"/>
    <mergeCell ref="R90:R91"/>
    <mergeCell ref="C9:C10"/>
    <mergeCell ref="E9:E10"/>
    <mergeCell ref="H59:I59"/>
    <mergeCell ref="C90:C91"/>
    <mergeCell ref="E90:E91"/>
    <mergeCell ref="C11:C12"/>
    <mergeCell ref="E11:E12"/>
    <mergeCell ref="K39:K40"/>
    <mergeCell ref="B74:B75"/>
    <mergeCell ref="D74:D75"/>
    <mergeCell ref="S92:S93"/>
    <mergeCell ref="L27:L28"/>
    <mergeCell ref="B76:B77"/>
    <mergeCell ref="D82:D83"/>
    <mergeCell ref="S29:S30"/>
    <mergeCell ref="S100:S101"/>
    <mergeCell ref="S94:S95"/>
    <mergeCell ref="C37:C38"/>
    <mergeCell ref="S21:S22"/>
    <mergeCell ref="E37:E38"/>
    <mergeCell ref="S31:S32"/>
  </mergeCells>
  <conditionalFormatting sqref="F12">
    <cfRule type="cellIs" priority="243" operator="notBetween" dxfId="1" stopIfTrue="1">
      <formula>F$11-$S$11</formula>
      <formula>F$11+$S$11</formula>
    </cfRule>
    <cfRule type="cellIs" priority="244" operator="notBetween" dxfId="0" stopIfTrue="1">
      <formula>F$11-$S$11*0.8</formula>
      <formula>F$11+$S$11*0.8</formula>
    </cfRule>
  </conditionalFormatting>
  <conditionalFormatting sqref="G12:J12">
    <cfRule type="cellIs" priority="241" operator="notBetween" dxfId="1" stopIfTrue="1">
      <formula>G$11-$S$11</formula>
      <formula>G$11+$S$11</formula>
    </cfRule>
    <cfRule type="cellIs" priority="242" operator="notBetween" dxfId="0" stopIfTrue="1">
      <formula>G$11-$S$11*0.8</formula>
      <formula>G$11+$S$11*0.8</formula>
    </cfRule>
  </conditionalFormatting>
  <conditionalFormatting sqref="M12">
    <cfRule type="cellIs" priority="239" operator="notBetween" dxfId="1" stopIfTrue="1">
      <formula>M$11-$S$11</formula>
      <formula>M$11+$S$11</formula>
    </cfRule>
    <cfRule type="cellIs" priority="240" operator="notBetween" dxfId="0" stopIfTrue="1">
      <formula>M$11-$S$11*0.8</formula>
      <formula>M$11+$S$11*0.8</formula>
    </cfRule>
  </conditionalFormatting>
  <conditionalFormatting sqref="N12:Q12">
    <cfRule type="cellIs" priority="237" operator="notBetween" dxfId="1" stopIfTrue="1">
      <formula>N$11-$S$11</formula>
      <formula>N$11+$S$11</formula>
    </cfRule>
    <cfRule type="cellIs" priority="238" operator="notBetween" dxfId="0" stopIfTrue="1">
      <formula>N$11-$S$11*0.8</formula>
      <formula>N$11+$S$11*0.8</formula>
    </cfRule>
  </conditionalFormatting>
  <conditionalFormatting sqref="F14">
    <cfRule type="cellIs" priority="235" operator="notBetween" dxfId="1" stopIfTrue="1">
      <formula>F$13-$S$13</formula>
      <formula>F$13+$S$13</formula>
    </cfRule>
    <cfRule type="cellIs" priority="236" operator="notBetween" dxfId="0" stopIfTrue="1">
      <formula>F$13-$S$13*0.8</formula>
      <formula>F$13+$S$13*0.8</formula>
    </cfRule>
  </conditionalFormatting>
  <conditionalFormatting sqref="G14:J14">
    <cfRule type="cellIs" priority="233" operator="notBetween" dxfId="1" stopIfTrue="1">
      <formula>G$13-$S$13</formula>
      <formula>G$13+$S$13</formula>
    </cfRule>
    <cfRule type="cellIs" priority="234" operator="notBetween" dxfId="0" stopIfTrue="1">
      <formula>G$13-$S$13*0.8</formula>
      <formula>G$13+$S$13*0.8</formula>
    </cfRule>
  </conditionalFormatting>
  <conditionalFormatting sqref="M14">
    <cfRule type="cellIs" priority="231" operator="notBetween" dxfId="1" stopIfTrue="1">
      <formula>M$13-$S$13</formula>
      <formula>M$13+$S$13</formula>
    </cfRule>
    <cfRule type="cellIs" priority="232" operator="notBetween" dxfId="0" stopIfTrue="1">
      <formula>M$13-$S$13*0.8</formula>
      <formula>M$13+$S$13*0.8</formula>
    </cfRule>
  </conditionalFormatting>
  <conditionalFormatting sqref="F16">
    <cfRule type="cellIs" priority="227" operator="notBetween" dxfId="1" stopIfTrue="1">
      <formula>F$15-$S$15</formula>
      <formula>F$15+$S$15</formula>
    </cfRule>
    <cfRule type="cellIs" priority="228" operator="notBetween" dxfId="0" stopIfTrue="1">
      <formula>F$15-$S$15*0.8</formula>
      <formula>F$15+$S$15*0.8</formula>
    </cfRule>
  </conditionalFormatting>
  <conditionalFormatting sqref="G16:J16">
    <cfRule type="cellIs" priority="225" operator="notBetween" dxfId="1" stopIfTrue="1">
      <formula>G$15-$S$15</formula>
      <formula>G$15+$S$15</formula>
    </cfRule>
    <cfRule type="cellIs" priority="226" operator="notBetween" dxfId="0" stopIfTrue="1">
      <formula>G$15-$S$15*0.8</formula>
      <formula>G$15+$S$15*0.8</formula>
    </cfRule>
  </conditionalFormatting>
  <conditionalFormatting sqref="M16">
    <cfRule type="cellIs" priority="223" operator="notBetween" dxfId="1" stopIfTrue="1">
      <formula>M$15-$S$15</formula>
      <formula>M$15+$S$15</formula>
    </cfRule>
    <cfRule type="cellIs" priority="224" operator="notBetween" dxfId="0" stopIfTrue="1">
      <formula>M$15-$S$15*0.8</formula>
      <formula>M$15+$S$15*0.8</formula>
    </cfRule>
  </conditionalFormatting>
  <conditionalFormatting sqref="N16:Q16">
    <cfRule type="cellIs" priority="221" operator="notBetween" dxfId="1" stopIfTrue="1">
      <formula>N$15-$S$15</formula>
      <formula>N$15+$S$15</formula>
    </cfRule>
    <cfRule type="cellIs" priority="222" operator="notBetween" dxfId="0" stopIfTrue="1">
      <formula>N$15-$S$15*0.8</formula>
      <formula>N$15+$S$15*0.8</formula>
    </cfRule>
  </conditionalFormatting>
  <conditionalFormatting sqref="F18:J18">
    <cfRule type="cellIs" priority="219" operator="notBetween" dxfId="1" stopIfTrue="1">
      <formula>F$17-$S$17</formula>
      <formula>F$17+$S$17</formula>
    </cfRule>
    <cfRule type="cellIs" priority="220" operator="notBetween" dxfId="0" stopIfTrue="1">
      <formula>F$17-$S$17*0.8</formula>
      <formula>F$17+$S$17*0.8</formula>
    </cfRule>
  </conditionalFormatting>
  <conditionalFormatting sqref="K9:K18">
    <cfRule type="containsText" priority="211" operator="containsText" dxfId="223" text="Fail">
      <formula>NOT(ISERROR(SEARCH("Fail",K9)))</formula>
    </cfRule>
    <cfRule type="containsText" priority="218" operator="containsText" dxfId="222" text="Pass">
      <formula>NOT(ISERROR(SEARCH("Pass",K9)))</formula>
    </cfRule>
  </conditionalFormatting>
  <conditionalFormatting sqref="F10:J10">
    <cfRule type="cellIs" priority="216" operator="notBetween" dxfId="1" stopIfTrue="1">
      <formula>F$9-$S$9</formula>
      <formula>F$9+$S$9</formula>
    </cfRule>
    <cfRule type="cellIs" priority="217" operator="notBetween" dxfId="0" stopIfTrue="1">
      <formula>F$9-$S$9*0.8</formula>
      <formula>F$9+$S$9*0.8</formula>
    </cfRule>
  </conditionalFormatting>
  <conditionalFormatting sqref="M10:Q10">
    <cfRule type="cellIs" priority="214" operator="notBetween" dxfId="1" stopIfTrue="1">
      <formula>M$9-$S$9</formula>
      <formula>M$9+$S$9</formula>
    </cfRule>
    <cfRule type="cellIs" priority="215" operator="notBetween" dxfId="0" stopIfTrue="1">
      <formula>M$9-$S$9*0.8</formula>
      <formula>M$9+$S$9*0.8</formula>
    </cfRule>
  </conditionalFormatting>
  <conditionalFormatting sqref="M14:Q14">
    <cfRule type="cellIs" priority="229" operator="notBetween" dxfId="1" stopIfTrue="1">
      <formula>M$13-$S$13</formula>
      <formula>M$13+$S$13</formula>
    </cfRule>
    <cfRule type="cellIs" priority="230" operator="notBetween" dxfId="0" stopIfTrue="1">
      <formula>M$13-$S$13*0.8</formula>
      <formula>M$13+$S$13*0.8</formula>
    </cfRule>
  </conditionalFormatting>
  <conditionalFormatting sqref="M18:Q18">
    <cfRule type="cellIs" priority="212" operator="notBetween" dxfId="1" stopIfTrue="1">
      <formula>M$17-$S$17</formula>
      <formula>M$17+$S$17</formula>
    </cfRule>
    <cfRule type="cellIs" priority="213" operator="notBetween" dxfId="0" stopIfTrue="1">
      <formula>M$17-$S$17*0.8</formula>
      <formula>M$17+$S$17*0.8</formula>
    </cfRule>
  </conditionalFormatting>
  <conditionalFormatting sqref="F20:J20">
    <cfRule type="cellIs" priority="209" operator="notBetween" dxfId="1" stopIfTrue="1">
      <formula>F$17-$S$17</formula>
      <formula>F$17+$S$17</formula>
    </cfRule>
    <cfRule type="cellIs" priority="210" operator="notBetween" dxfId="0" stopIfTrue="1">
      <formula>F$17-$S$17*0.8</formula>
      <formula>F$17+$S$17*0.8</formula>
    </cfRule>
  </conditionalFormatting>
  <conditionalFormatting sqref="K19:K20">
    <cfRule type="containsText" priority="205" operator="containsText" dxfId="223" text="Fail">
      <formula>NOT(ISERROR(SEARCH("Fail",K19)))</formula>
    </cfRule>
    <cfRule type="containsText" priority="208" operator="containsText" dxfId="222" text="Pass">
      <formula>NOT(ISERROR(SEARCH("Pass",K19)))</formula>
    </cfRule>
  </conditionalFormatting>
  <conditionalFormatting sqref="M20:Q20">
    <cfRule type="cellIs" priority="206" operator="notBetween" dxfId="1" stopIfTrue="1">
      <formula>M$17-$S$17</formula>
      <formula>M$17+$S$17</formula>
    </cfRule>
    <cfRule type="cellIs" priority="207" operator="notBetween" dxfId="0" stopIfTrue="1">
      <formula>M$17-$S$17*0.8</formula>
      <formula>M$17+$S$17*0.8</formula>
    </cfRule>
  </conditionalFormatting>
  <conditionalFormatting sqref="F22:J22">
    <cfRule type="cellIs" priority="203" operator="notBetween" dxfId="1" stopIfTrue="1">
      <formula>F$21-$S$21</formula>
      <formula>F$21+$S$21</formula>
    </cfRule>
    <cfRule type="cellIs" priority="204" operator="notBetween" dxfId="0" stopIfTrue="1">
      <formula>F$21-$S$21*0.8</formula>
      <formula>F$21+$S$21*0.8</formula>
    </cfRule>
  </conditionalFormatting>
  <conditionalFormatting sqref="K21:K22">
    <cfRule type="containsText" priority="201" operator="containsText" dxfId="223" text="Fail">
      <formula>NOT(ISERROR(SEARCH("Fail",K21)))</formula>
    </cfRule>
    <cfRule type="containsText" priority="202" operator="containsText" dxfId="222" text="Pass">
      <formula>NOT(ISERROR(SEARCH("Pass",K21)))</formula>
    </cfRule>
  </conditionalFormatting>
  <conditionalFormatting sqref="F24:J24">
    <cfRule type="cellIs" priority="199" operator="notBetween" dxfId="1" stopIfTrue="1">
      <formula>F$23-$S$23</formula>
      <formula>F$23+$S$23</formula>
    </cfRule>
    <cfRule type="cellIs" priority="200" operator="notBetween" dxfId="0" stopIfTrue="1">
      <formula>F$23-$S$23*0.8</formula>
      <formula>F$23+$S$23*0.8</formula>
    </cfRule>
  </conditionalFormatting>
  <conditionalFormatting sqref="K23:K24">
    <cfRule type="containsText" priority="197" operator="containsText" dxfId="223" text="Fail">
      <formula>NOT(ISERROR(SEARCH("Fail",K23)))</formula>
    </cfRule>
    <cfRule type="containsText" priority="198" operator="containsText" dxfId="222" text="Pass">
      <formula>NOT(ISERROR(SEARCH("Pass",K23)))</formula>
    </cfRule>
  </conditionalFormatting>
  <conditionalFormatting sqref="F26:J26">
    <cfRule type="cellIs" priority="195" operator="notBetween" dxfId="1" stopIfTrue="1">
      <formula>F$25-$S$25</formula>
      <formula>F$25+$S$25</formula>
    </cfRule>
    <cfRule type="cellIs" priority="196" operator="notBetween" dxfId="0" stopIfTrue="1">
      <formula>F$25-$S$25*0.8</formula>
      <formula>F$25+$S$25*0.8</formula>
    </cfRule>
  </conditionalFormatting>
  <conditionalFormatting sqref="K25:K26">
    <cfRule type="containsText" priority="193" operator="containsText" dxfId="223" text="Fail">
      <formula>NOT(ISERROR(SEARCH("Fail",K25)))</formula>
    </cfRule>
    <cfRule type="containsText" priority="194" operator="containsText" dxfId="222" text="Pass">
      <formula>NOT(ISERROR(SEARCH("Pass",K25)))</formula>
    </cfRule>
  </conditionalFormatting>
  <conditionalFormatting sqref="F28:J28">
    <cfRule type="cellIs" priority="191" operator="notBetween" dxfId="1" stopIfTrue="1">
      <formula>F$27-$S$27</formula>
      <formula>F$27+$S$27</formula>
    </cfRule>
    <cfRule type="cellIs" priority="192" operator="notBetween" dxfId="0" stopIfTrue="1">
      <formula>F$27-$S$27*0.8</formula>
      <formula>F$27+$S$27*0.8</formula>
    </cfRule>
  </conditionalFormatting>
  <conditionalFormatting sqref="K27:K28">
    <cfRule type="containsText" priority="189" operator="containsText" dxfId="223" text="Fail">
      <formula>NOT(ISERROR(SEARCH("Fail",K27)))</formula>
    </cfRule>
    <cfRule type="containsText" priority="190" operator="containsText" dxfId="222" text="Pass">
      <formula>NOT(ISERROR(SEARCH("Pass",K27)))</formula>
    </cfRule>
  </conditionalFormatting>
  <conditionalFormatting sqref="K29:K30">
    <cfRule type="containsText" priority="183" operator="containsText" dxfId="223" text="Fail">
      <formula>NOT(ISERROR(SEARCH("Fail",K29)))</formula>
    </cfRule>
    <cfRule type="containsText" priority="186" operator="containsText" dxfId="222" text="Pass">
      <formula>NOT(ISERROR(SEARCH("Pass",K29)))</formula>
    </cfRule>
  </conditionalFormatting>
  <conditionalFormatting sqref="F32:J32">
    <cfRule type="cellIs" priority="181" operator="notBetween" dxfId="1" stopIfTrue="1">
      <formula>F$31-$S$31</formula>
      <formula>F$31+$S$31</formula>
    </cfRule>
    <cfRule type="cellIs" priority="182" operator="notBetween" dxfId="0" stopIfTrue="1">
      <formula>F$31-$S$31*0.8</formula>
      <formula>F$31+$S$31*0.8</formula>
    </cfRule>
  </conditionalFormatting>
  <conditionalFormatting sqref="K31:K32">
    <cfRule type="containsText" priority="179" operator="containsText" dxfId="223" text="Fail">
      <formula>NOT(ISERROR(SEARCH("Fail",K31)))</formula>
    </cfRule>
    <cfRule type="containsText" priority="180" operator="containsText" dxfId="222" text="Pass">
      <formula>NOT(ISERROR(SEARCH("Pass",K31)))</formula>
    </cfRule>
  </conditionalFormatting>
  <conditionalFormatting sqref="F34:J34">
    <cfRule type="cellIs" priority="177" operator="notBetween" dxfId="1" stopIfTrue="1">
      <formula>F$17-$S$17</formula>
      <formula>F$17+$S$17</formula>
    </cfRule>
    <cfRule type="cellIs" priority="178" operator="notBetween" dxfId="0" stopIfTrue="1">
      <formula>F$17-$S$17*0.8</formula>
      <formula>F$17+$S$17*0.8</formula>
    </cfRule>
  </conditionalFormatting>
  <conditionalFormatting sqref="K33:K34">
    <cfRule type="containsText" priority="173" operator="containsText" dxfId="223" text="Fail">
      <formula>NOT(ISERROR(SEARCH("Fail",K33)))</formula>
    </cfRule>
    <cfRule type="containsText" priority="176" operator="containsText" dxfId="222" text="Pass">
      <formula>NOT(ISERROR(SEARCH("Pass",K33)))</formula>
    </cfRule>
  </conditionalFormatting>
  <conditionalFormatting sqref="M34:Q34">
    <cfRule type="cellIs" priority="174" operator="notBetween" dxfId="1" stopIfTrue="1">
      <formula>M$17-$S$17</formula>
      <formula>M$17+$S$17</formula>
    </cfRule>
    <cfRule type="cellIs" priority="175" operator="notBetween" dxfId="0" stopIfTrue="1">
      <formula>M$17-$S$17*0.8</formula>
      <formula>M$17+$S$17*0.8</formula>
    </cfRule>
  </conditionalFormatting>
  <conditionalFormatting sqref="K35:K36">
    <cfRule type="containsText" priority="169" operator="containsText" dxfId="223" text="Fail">
      <formula>NOT(ISERROR(SEARCH("Fail",K35)))</formula>
    </cfRule>
    <cfRule type="containsText" priority="172" operator="containsText" dxfId="222" text="Pass">
      <formula>NOT(ISERROR(SEARCH("Pass",K35)))</formula>
    </cfRule>
  </conditionalFormatting>
  <conditionalFormatting sqref="M36:Q36">
    <cfRule type="cellIs" priority="170" operator="notBetween" dxfId="1" stopIfTrue="1">
      <formula>M$17-$S$17</formula>
      <formula>M$17+$S$17</formula>
    </cfRule>
    <cfRule type="cellIs" priority="171" operator="notBetween" dxfId="0" stopIfTrue="1">
      <formula>M$17-$S$17*0.8</formula>
      <formula>M$17+$S$17*0.8</formula>
    </cfRule>
  </conditionalFormatting>
  <conditionalFormatting sqref="K37:K38">
    <cfRule type="containsText" priority="165" operator="containsText" dxfId="223" text="Fail">
      <formula>NOT(ISERROR(SEARCH("Fail",K37)))</formula>
    </cfRule>
    <cfRule type="containsText" priority="168" operator="containsText" dxfId="222" text="Pass">
      <formula>NOT(ISERROR(SEARCH("Pass",K37)))</formula>
    </cfRule>
  </conditionalFormatting>
  <conditionalFormatting sqref="M38:Q38">
    <cfRule type="cellIs" priority="166" operator="notBetween" dxfId="1" stopIfTrue="1">
      <formula>M$17-$S$17</formula>
      <formula>M$17+$S$17</formula>
    </cfRule>
    <cfRule type="cellIs" priority="167" operator="notBetween" dxfId="0" stopIfTrue="1">
      <formula>M$17-$S$17*0.8</formula>
      <formula>M$17+$S$17*0.8</formula>
    </cfRule>
  </conditionalFormatting>
  <conditionalFormatting sqref="K39:K40">
    <cfRule type="containsText" priority="163" operator="containsText" dxfId="223" text="Fail">
      <formula>NOT(ISERROR(SEARCH("Fail",K39)))</formula>
    </cfRule>
    <cfRule type="containsText" priority="164" operator="containsText" dxfId="222" text="Pass">
      <formula>NOT(ISERROR(SEARCH("Pass",K39)))</formula>
    </cfRule>
  </conditionalFormatting>
  <conditionalFormatting sqref="F42:J42">
    <cfRule type="cellIs" priority="161" operator="notBetween" dxfId="1" stopIfTrue="1">
      <formula>F$41-$S$41</formula>
      <formula>F$41+$S$41</formula>
    </cfRule>
    <cfRule type="cellIs" priority="162" operator="notBetween" dxfId="0" stopIfTrue="1">
      <formula>F$41-$S$41*0.8</formula>
      <formula>F$41+$S$41*0.8</formula>
    </cfRule>
  </conditionalFormatting>
  <conditionalFormatting sqref="K41:K42">
    <cfRule type="containsText" priority="159" operator="containsText" dxfId="223" text="Fail">
      <formula>NOT(ISERROR(SEARCH("Fail",K41)))</formula>
    </cfRule>
    <cfRule type="containsText" priority="160" operator="containsText" dxfId="222" text="Pass">
      <formula>NOT(ISERROR(SEARCH("Pass",K41)))</formula>
    </cfRule>
  </conditionalFormatting>
  <conditionalFormatting sqref="F44:J44">
    <cfRule type="cellIs" priority="157" operator="notBetween" dxfId="1" stopIfTrue="1">
      <formula>F$43-$S$43</formula>
      <formula>F$43+$S$43</formula>
    </cfRule>
    <cfRule type="cellIs" priority="158" operator="notBetween" dxfId="0" stopIfTrue="1">
      <formula>F$43-$S$43*0.8</formula>
      <formula>F$43+$S$43*0.8</formula>
    </cfRule>
  </conditionalFormatting>
  <conditionalFormatting sqref="K43:K44">
    <cfRule type="containsText" priority="155" operator="containsText" dxfId="223" text="Fail">
      <formula>NOT(ISERROR(SEARCH("Fail",K43)))</formula>
    </cfRule>
    <cfRule type="containsText" priority="156" operator="containsText" dxfId="222" text="Pass">
      <formula>NOT(ISERROR(SEARCH("Pass",K43)))</formula>
    </cfRule>
  </conditionalFormatting>
  <conditionalFormatting sqref="F46:J46">
    <cfRule type="cellIs" priority="153" operator="notBetween" dxfId="1" stopIfTrue="1">
      <formula>F$45-$S$45</formula>
      <formula>F$45+$S$45</formula>
    </cfRule>
    <cfRule type="cellIs" priority="154" operator="notBetween" dxfId="0" stopIfTrue="1">
      <formula>F$45-$S$45*0.8</formula>
      <formula>F$45+$S$45*0.8</formula>
    </cfRule>
  </conditionalFormatting>
  <conditionalFormatting sqref="K45:K46">
    <cfRule type="containsText" priority="151" operator="containsText" dxfId="223" text="Fail">
      <formula>NOT(ISERROR(SEARCH("Fail",K45)))</formula>
    </cfRule>
    <cfRule type="containsText" priority="152" operator="containsText" dxfId="222" text="Pass">
      <formula>NOT(ISERROR(SEARCH("Pass",K45)))</formula>
    </cfRule>
  </conditionalFormatting>
  <conditionalFormatting sqref="F48:J48">
    <cfRule type="cellIs" priority="149" operator="notBetween" dxfId="1" stopIfTrue="1">
      <formula>F$47-$S$47</formula>
      <formula>F$47+$S$47</formula>
    </cfRule>
    <cfRule type="cellIs" priority="150" operator="notBetween" dxfId="0" stopIfTrue="1">
      <formula>F$47-$S$47*0.8</formula>
      <formula>F$47+$S$47*0.8</formula>
    </cfRule>
  </conditionalFormatting>
  <conditionalFormatting sqref="K47:K48">
    <cfRule type="containsText" priority="145" operator="containsText" dxfId="223" text="Fail">
      <formula>NOT(ISERROR(SEARCH("Fail",K47)))</formula>
    </cfRule>
    <cfRule type="containsText" priority="148" operator="containsText" dxfId="222" text="Pass">
      <formula>NOT(ISERROR(SEARCH("Pass",K47)))</formula>
    </cfRule>
  </conditionalFormatting>
  <conditionalFormatting sqref="M48:Q48">
    <cfRule type="cellIs" priority="146" operator="notBetween" dxfId="1" stopIfTrue="1">
      <formula>M$17-$S$17</formula>
      <formula>M$17+$S$17</formula>
    </cfRule>
    <cfRule type="cellIs" priority="147" operator="notBetween" dxfId="0" stopIfTrue="1">
      <formula>M$17-$S$17*0.8</formula>
      <formula>M$17+$S$17*0.8</formula>
    </cfRule>
  </conditionalFormatting>
  <conditionalFormatting sqref="F67">
    <cfRule type="cellIs" priority="143" operator="notBetween" dxfId="1" stopIfTrue="1">
      <formula>F$66-$S$66</formula>
      <formula>F$66+$S$66</formula>
    </cfRule>
    <cfRule type="cellIs" priority="144" operator="notBetween" dxfId="0" stopIfTrue="1">
      <formula>F$66-$S$66*0.8</formula>
      <formula>F$66+$S$66*0.8</formula>
    </cfRule>
  </conditionalFormatting>
  <conditionalFormatting sqref="G67:J67">
    <cfRule type="cellIs" priority="141" operator="notBetween" dxfId="1" stopIfTrue="1">
      <formula>G$66-$S$66</formula>
      <formula>G$66+$S$66</formula>
    </cfRule>
    <cfRule type="cellIs" priority="142" operator="notBetween" dxfId="0" stopIfTrue="1">
      <formula>G$66-$S$66*0.8</formula>
      <formula>G$66+$S$66*0.8</formula>
    </cfRule>
  </conditionalFormatting>
  <conditionalFormatting sqref="F73:J73">
    <cfRule type="cellIs" priority="135" operator="notBetween" dxfId="1" stopIfTrue="1">
      <formula>F$72-$S$72</formula>
      <formula>F$72+$S$72</formula>
    </cfRule>
    <cfRule type="cellIs" priority="136" operator="notBetween" dxfId="0" stopIfTrue="1">
      <formula>F$72-$S$72*0.8</formula>
      <formula>F$72+$S$72*0.8</formula>
    </cfRule>
  </conditionalFormatting>
  <conditionalFormatting sqref="K64:K73">
    <cfRule type="containsText" priority="131" operator="containsText" dxfId="223" text="Fail">
      <formula>NOT(ISERROR(SEARCH("Fail",K64)))</formula>
    </cfRule>
    <cfRule type="containsText" priority="134" operator="containsText" dxfId="222" text="Pass">
      <formula>NOT(ISERROR(SEARCH("Pass",K64)))</formula>
    </cfRule>
  </conditionalFormatting>
  <conditionalFormatting sqref="F65:J65">
    <cfRule type="cellIs" priority="132" operator="notBetween" dxfId="1" stopIfTrue="1">
      <formula>F$64-$S$64</formula>
      <formula>F$64+$S$64</formula>
    </cfRule>
    <cfRule type="cellIs" priority="133" operator="notBetween" dxfId="0" stopIfTrue="1">
      <formula>F$64-$S$64*0.8</formula>
      <formula>F$64+$S$64*0.8</formula>
    </cfRule>
  </conditionalFormatting>
  <conditionalFormatting sqref="F75:J75">
    <cfRule type="cellIs" priority="129" operator="notBetween" dxfId="1" stopIfTrue="1">
      <formula>F$74-$S$74</formula>
      <formula>F$74+$S$74</formula>
    </cfRule>
    <cfRule type="cellIs" priority="130" operator="notBetween" dxfId="0" stopIfTrue="1">
      <formula>F$74-$S$74*0.8</formula>
      <formula>F$74+$S$74*0.8</formula>
    </cfRule>
  </conditionalFormatting>
  <conditionalFormatting sqref="K74:K75">
    <cfRule type="containsText" priority="127" operator="containsText" dxfId="223" text="Fail">
      <formula>NOT(ISERROR(SEARCH("Fail",K74)))</formula>
    </cfRule>
    <cfRule type="containsText" priority="128" operator="containsText" dxfId="222" text="Pass">
      <formula>NOT(ISERROR(SEARCH("Pass",K74)))</formula>
    </cfRule>
  </conditionalFormatting>
  <conditionalFormatting sqref="F77:J77">
    <cfRule type="cellIs" priority="125" operator="notBetween" dxfId="1" stopIfTrue="1">
      <formula>F$76-$S$76</formula>
      <formula>F$76+$S$76</formula>
    </cfRule>
    <cfRule type="cellIs" priority="126" operator="notBetween" dxfId="0" stopIfTrue="1">
      <formula>F$76-$S$76*0.8</formula>
      <formula>F$76+$S$76*0.8</formula>
    </cfRule>
  </conditionalFormatting>
  <conditionalFormatting sqref="K76:K77">
    <cfRule type="containsText" priority="123" operator="containsText" dxfId="223" text="Fail">
      <formula>NOT(ISERROR(SEARCH("Fail",K76)))</formula>
    </cfRule>
    <cfRule type="containsText" priority="124" operator="containsText" dxfId="222" text="Pass">
      <formula>NOT(ISERROR(SEARCH("Pass",K76)))</formula>
    </cfRule>
  </conditionalFormatting>
  <conditionalFormatting sqref="F79:J79">
    <cfRule type="cellIs" priority="121" operator="notBetween" dxfId="1" stopIfTrue="1">
      <formula>F$78-$S$78</formula>
      <formula>F$78+$S$78</formula>
    </cfRule>
    <cfRule type="cellIs" priority="122" operator="notBetween" dxfId="0" stopIfTrue="1">
      <formula>F$78-$S$78*0.8</formula>
      <formula>F$78+$S$78*0.8</formula>
    </cfRule>
  </conditionalFormatting>
  <conditionalFormatting sqref="K78:K79">
    <cfRule type="containsText" priority="119" operator="containsText" dxfId="223" text="Fail">
      <formula>NOT(ISERROR(SEARCH("Fail",K78)))</formula>
    </cfRule>
    <cfRule type="containsText" priority="120" operator="containsText" dxfId="222" text="Pass">
      <formula>NOT(ISERROR(SEARCH("Pass",K78)))</formula>
    </cfRule>
  </conditionalFormatting>
  <conditionalFormatting sqref="F81:J81">
    <cfRule type="cellIs" priority="117" operator="notBetween" dxfId="1" stopIfTrue="1">
      <formula>F$80-$S$80</formula>
      <formula>F$80+$S$80</formula>
    </cfRule>
    <cfRule type="cellIs" priority="118" operator="notBetween" dxfId="0" stopIfTrue="1">
      <formula>F$80-$S$80*0.8</formula>
      <formula>F$80+$S$80*0.8</formula>
    </cfRule>
  </conditionalFormatting>
  <conditionalFormatting sqref="K80:K81">
    <cfRule type="containsText" priority="115" operator="containsText" dxfId="223" text="Fail">
      <formula>NOT(ISERROR(SEARCH("Fail",K80)))</formula>
    </cfRule>
    <cfRule type="containsText" priority="116" operator="containsText" dxfId="222" text="Pass">
      <formula>NOT(ISERROR(SEARCH("Pass",K80)))</formula>
    </cfRule>
  </conditionalFormatting>
  <conditionalFormatting sqref="F83:J83">
    <cfRule type="cellIs" priority="113" operator="notBetween" dxfId="1" stopIfTrue="1">
      <formula>F$82-$S$82</formula>
      <formula>F$82+$S$82</formula>
    </cfRule>
    <cfRule type="cellIs" priority="114" operator="notBetween" dxfId="0" stopIfTrue="1">
      <formula>F$82-$S$82*0.8</formula>
      <formula>F$82+$S$82*0.8</formula>
    </cfRule>
  </conditionalFormatting>
  <conditionalFormatting sqref="K82:K83">
    <cfRule type="containsText" priority="111" operator="containsText" dxfId="223" text="Fail">
      <formula>NOT(ISERROR(SEARCH("Fail",K82)))</formula>
    </cfRule>
    <cfRule type="containsText" priority="112" operator="containsText" dxfId="222" text="Pass">
      <formula>NOT(ISERROR(SEARCH("Pass",K82)))</formula>
    </cfRule>
  </conditionalFormatting>
  <conditionalFormatting sqref="F85:J85">
    <cfRule type="cellIs" priority="109" operator="notBetween" dxfId="1" stopIfTrue="1">
      <formula>F$84-$S$84</formula>
      <formula>F$84+$S$84</formula>
    </cfRule>
    <cfRule type="cellIs" priority="110" operator="notBetween" dxfId="0" stopIfTrue="1">
      <formula>F$84-$S$84*0.8</formula>
      <formula>F$84+$S$84*0.8</formula>
    </cfRule>
  </conditionalFormatting>
  <conditionalFormatting sqref="K84:K85">
    <cfRule type="containsText" priority="107" operator="containsText" dxfId="223" text="Fail">
      <formula>NOT(ISERROR(SEARCH("Fail",K84)))</formula>
    </cfRule>
    <cfRule type="containsText" priority="108" operator="containsText" dxfId="222" text="Pass">
      <formula>NOT(ISERROR(SEARCH("Pass",K84)))</formula>
    </cfRule>
  </conditionalFormatting>
  <conditionalFormatting sqref="F87:J87">
    <cfRule type="cellIs" priority="105" operator="notBetween" dxfId="1" stopIfTrue="1">
      <formula>F$86-$S$86</formula>
      <formula>F$86+$S$86</formula>
    </cfRule>
    <cfRule type="cellIs" priority="106" operator="notBetween" dxfId="0" stopIfTrue="1">
      <formula>F$86-$S$86*0.8</formula>
      <formula>F$86+$S$86*0.8</formula>
    </cfRule>
  </conditionalFormatting>
  <conditionalFormatting sqref="K86:K87">
    <cfRule type="containsText" priority="103" operator="containsText" dxfId="223" text="Fail">
      <formula>NOT(ISERROR(SEARCH("Fail",K86)))</formula>
    </cfRule>
    <cfRule type="containsText" priority="104" operator="containsText" dxfId="222" text="Pass">
      <formula>NOT(ISERROR(SEARCH("Pass",K86)))</formula>
    </cfRule>
  </conditionalFormatting>
  <conditionalFormatting sqref="F89:J89">
    <cfRule type="cellIs" priority="101" operator="notBetween" dxfId="1" stopIfTrue="1">
      <formula>F$88-$S$88</formula>
      <formula>F$88+$S$88</formula>
    </cfRule>
    <cfRule type="cellIs" priority="102" operator="notBetween" dxfId="0" stopIfTrue="1">
      <formula>F$88-$S$88*0.8</formula>
      <formula>F$88+$S$88*0.8</formula>
    </cfRule>
  </conditionalFormatting>
  <conditionalFormatting sqref="K88:K89">
    <cfRule type="containsText" priority="99" operator="containsText" dxfId="223" text="Fail">
      <formula>NOT(ISERROR(SEARCH("Fail",K88)))</formula>
    </cfRule>
    <cfRule type="containsText" priority="100" operator="containsText" dxfId="222" text="Pass">
      <formula>NOT(ISERROR(SEARCH("Pass",K88)))</formula>
    </cfRule>
  </conditionalFormatting>
  <conditionalFormatting sqref="F91:J91">
    <cfRule type="cellIs" priority="97" operator="notBetween" dxfId="1" stopIfTrue="1">
      <formula>F$90-$S$90</formula>
      <formula>F$90+$S$90</formula>
    </cfRule>
    <cfRule type="cellIs" priority="98" operator="notBetween" dxfId="0" stopIfTrue="1">
      <formula>F$90-$S$90*0.8</formula>
      <formula>F$90+$S$90*0.8</formula>
    </cfRule>
  </conditionalFormatting>
  <conditionalFormatting sqref="K90:K91">
    <cfRule type="containsText" priority="95" operator="containsText" dxfId="223" text="Fail">
      <formula>NOT(ISERROR(SEARCH("Fail",K90)))</formula>
    </cfRule>
    <cfRule type="containsText" priority="96" operator="containsText" dxfId="222" text="Pass">
      <formula>NOT(ISERROR(SEARCH("Pass",K90)))</formula>
    </cfRule>
  </conditionalFormatting>
  <conditionalFormatting sqref="F93:J93">
    <cfRule type="cellIs" priority="93" operator="notBetween" dxfId="1" stopIfTrue="1">
      <formula>F$92-$S$92</formula>
      <formula>F$92+$S$92</formula>
    </cfRule>
    <cfRule type="cellIs" priority="94" operator="notBetween" dxfId="0" stopIfTrue="1">
      <formula>F$92-$S$92*0.8</formula>
      <formula>F$92+$S$92*0.8</formula>
    </cfRule>
  </conditionalFormatting>
  <conditionalFormatting sqref="K92:K93">
    <cfRule type="containsText" priority="91" operator="containsText" dxfId="223" text="Fail">
      <formula>NOT(ISERROR(SEARCH("Fail",K92)))</formula>
    </cfRule>
    <cfRule type="containsText" priority="92" operator="containsText" dxfId="222" text="Pass">
      <formula>NOT(ISERROR(SEARCH("Pass",K92)))</formula>
    </cfRule>
  </conditionalFormatting>
  <conditionalFormatting sqref="F95:J95">
    <cfRule type="cellIs" priority="89" operator="notBetween" dxfId="1" stopIfTrue="1">
      <formula>F$94-$S$94</formula>
      <formula>F$94+$S$94</formula>
    </cfRule>
    <cfRule type="cellIs" priority="90" operator="notBetween" dxfId="0" stopIfTrue="1">
      <formula>F$94-$S$94*0.8</formula>
      <formula>F$94+$S$94*0.8</formula>
    </cfRule>
  </conditionalFormatting>
  <conditionalFormatting sqref="K94:K95">
    <cfRule type="containsText" priority="87" operator="containsText" dxfId="223" text="Fail">
      <formula>NOT(ISERROR(SEARCH("Fail",K94)))</formula>
    </cfRule>
    <cfRule type="containsText" priority="88" operator="containsText" dxfId="222" text="Pass">
      <formula>NOT(ISERROR(SEARCH("Pass",K94)))</formula>
    </cfRule>
  </conditionalFormatting>
  <conditionalFormatting sqref="F97:J97">
    <cfRule type="cellIs" priority="85" operator="notBetween" dxfId="1" stopIfTrue="1">
      <formula>F$96-$S$96</formula>
      <formula>F$96+$S$96</formula>
    </cfRule>
    <cfRule type="cellIs" priority="86" operator="notBetween" dxfId="0" stopIfTrue="1">
      <formula>F$96-$S$96*0.8</formula>
      <formula>F$96+$S$96*0.8</formula>
    </cfRule>
  </conditionalFormatting>
  <conditionalFormatting sqref="K96:K97">
    <cfRule type="containsText" priority="83" operator="containsText" dxfId="223" text="Fail">
      <formula>NOT(ISERROR(SEARCH("Fail",K96)))</formula>
    </cfRule>
    <cfRule type="containsText" priority="84" operator="containsText" dxfId="222" text="Pass">
      <formula>NOT(ISERROR(SEARCH("Pass",K96)))</formula>
    </cfRule>
  </conditionalFormatting>
  <conditionalFormatting sqref="K98:K99">
    <cfRule type="containsText" priority="81" operator="containsText" dxfId="223" text="Fail">
      <formula>NOT(ISERROR(SEARCH("Fail",K98)))</formula>
    </cfRule>
    <cfRule type="containsText" priority="82" operator="containsText" dxfId="222" text="Pass">
      <formula>NOT(ISERROR(SEARCH("Pass",K98)))</formula>
    </cfRule>
  </conditionalFormatting>
  <conditionalFormatting sqref="F101:J101">
    <cfRule type="cellIs" priority="79" operator="notBetween" dxfId="1" stopIfTrue="1">
      <formula>F$100-$S$100</formula>
      <formula>F$100+$S$100</formula>
    </cfRule>
    <cfRule type="cellIs" priority="80" operator="notBetween" dxfId="0" stopIfTrue="1">
      <formula>F$100-$S$100*0.8</formula>
      <formula>F$100+$S$100*0.8</formula>
    </cfRule>
  </conditionalFormatting>
  <conditionalFormatting sqref="K100:K101">
    <cfRule type="containsText" priority="77" operator="containsText" dxfId="223" text="Fail">
      <formula>NOT(ISERROR(SEARCH("Fail",K100)))</formula>
    </cfRule>
    <cfRule type="containsText" priority="78" operator="containsText" dxfId="222" text="Pass">
      <formula>NOT(ISERROR(SEARCH("Pass",K100)))</formula>
    </cfRule>
  </conditionalFormatting>
  <conditionalFormatting sqref="F103:J103">
    <cfRule type="cellIs" priority="75" operator="notBetween" dxfId="1" stopIfTrue="1">
      <formula>F$102-$S$102</formula>
      <formula>F$102+$S$102</formula>
    </cfRule>
    <cfRule type="cellIs" priority="76" operator="notBetween" dxfId="0" stopIfTrue="1">
      <formula>F$102-$S$102*0.8</formula>
      <formula>F$102+$S$102*0.8</formula>
    </cfRule>
  </conditionalFormatting>
  <conditionalFormatting sqref="K102:K103">
    <cfRule type="containsText" priority="73" operator="containsText" dxfId="223" text="Fail">
      <formula>NOT(ISERROR(SEARCH("Fail",K102)))</formula>
    </cfRule>
    <cfRule type="containsText" priority="74" operator="containsText" dxfId="222" text="Pass">
      <formula>NOT(ISERROR(SEARCH("Pass",K102)))</formula>
    </cfRule>
  </conditionalFormatting>
  <conditionalFormatting sqref="F99:J99">
    <cfRule type="cellIs" priority="71" operator="notBetween" dxfId="1" stopIfTrue="1">
      <formula>F$98-$S$98</formula>
      <formula>F$98+$S$98</formula>
    </cfRule>
    <cfRule type="cellIs" priority="72" operator="notBetween" dxfId="0" stopIfTrue="1">
      <formula>F$98-$S$98*0.8</formula>
      <formula>F$98+$S$98*0.8</formula>
    </cfRule>
  </conditionalFormatting>
  <conditionalFormatting sqref="M22:Q22">
    <cfRule type="cellIs" priority="69" operator="notBetween" dxfId="1" stopIfTrue="1">
      <formula>M$21-$S$21</formula>
      <formula>M$21+$S$21</formula>
    </cfRule>
    <cfRule type="cellIs" priority="70" operator="notBetween" dxfId="0" stopIfTrue="1">
      <formula>M$21-$S$21*0.8</formula>
      <formula>M$21+$S$21*0.8</formula>
    </cfRule>
  </conditionalFormatting>
  <conditionalFormatting sqref="M24:Q24">
    <cfRule type="cellIs" priority="67" operator="notBetween" dxfId="1" stopIfTrue="1">
      <formula>M$23-$S$23</formula>
      <formula>M$23+$S$23</formula>
    </cfRule>
    <cfRule type="cellIs" priority="68" operator="notBetween" dxfId="0" stopIfTrue="1">
      <formula>M$23-$S$23*0.8</formula>
      <formula>M$23+$S$23*0.8</formula>
    </cfRule>
  </conditionalFormatting>
  <conditionalFormatting sqref="M26:Q26">
    <cfRule type="cellIs" priority="65" operator="notBetween" dxfId="1" stopIfTrue="1">
      <formula>M$25-$S$25</formula>
      <formula>M$25+$S$25</formula>
    </cfRule>
    <cfRule type="cellIs" priority="66" operator="notBetween" dxfId="0" stopIfTrue="1">
      <formula>M$25-$S$25*0.8</formula>
      <formula>M$25+$S$25*0.8</formula>
    </cfRule>
  </conditionalFormatting>
  <conditionalFormatting sqref="M28:Q28">
    <cfRule type="cellIs" priority="63" operator="notBetween" dxfId="1" stopIfTrue="1">
      <formula>M$27-$S$27</formula>
      <formula>M$27+$S$27</formula>
    </cfRule>
    <cfRule type="cellIs" priority="64" operator="notBetween" dxfId="0" stopIfTrue="1">
      <formula>M$27-$S$27*0.8</formula>
      <formula>M$27+$S$27*0.8</formula>
    </cfRule>
  </conditionalFormatting>
  <conditionalFormatting sqref="M32:Q32">
    <cfRule type="cellIs" priority="61" operator="notBetween" dxfId="1" stopIfTrue="1">
      <formula>M$31-$S$31</formula>
      <formula>M$31+$S$31</formula>
    </cfRule>
    <cfRule type="cellIs" priority="62" operator="notBetween" dxfId="0" stopIfTrue="1">
      <formula>M$31-$S$31*0.8</formula>
      <formula>M$31+$S$31*0.8</formula>
    </cfRule>
  </conditionalFormatting>
  <conditionalFormatting sqref="F36:J36">
    <cfRule type="cellIs" priority="59" operator="notBetween" dxfId="1" stopIfTrue="1">
      <formula>F$35-$S$35</formula>
      <formula>F$35+$S$35</formula>
    </cfRule>
    <cfRule type="cellIs" priority="60" operator="notBetween" dxfId="0" stopIfTrue="1">
      <formula>F$35-$S$35*0.8</formula>
      <formula>F$35+$S$35*0.8</formula>
    </cfRule>
  </conditionalFormatting>
  <conditionalFormatting sqref="F38:J38">
    <cfRule type="cellIs" priority="57" operator="notBetween" dxfId="1" stopIfTrue="1">
      <formula>F$37-$S$37</formula>
      <formula>F$37+$S$37</formula>
    </cfRule>
    <cfRule type="cellIs" priority="58" operator="notBetween" dxfId="0" stopIfTrue="1">
      <formula>F$37-$S$37*0.8</formula>
      <formula>F$37+$S$37*0.8</formula>
    </cfRule>
  </conditionalFormatting>
  <conditionalFormatting sqref="F40:J40">
    <cfRule type="cellIs" priority="55" operator="notBetween" dxfId="1" stopIfTrue="1">
      <formula>F$39-$S$39</formula>
      <formula>F$39+$S$39</formula>
    </cfRule>
    <cfRule type="cellIs" priority="56" operator="notBetween" dxfId="0" stopIfTrue="1">
      <formula>F$39-$S$39*0.8</formula>
      <formula>F$39+$S$39*0.8</formula>
    </cfRule>
  </conditionalFormatting>
  <conditionalFormatting sqref="M40:Q40">
    <cfRule type="cellIs" priority="53" operator="notBetween" dxfId="1" stopIfTrue="1">
      <formula>M$23-$S$23</formula>
      <formula>M$23+$S$23</formula>
    </cfRule>
    <cfRule type="cellIs" priority="54" operator="notBetween" dxfId="0" stopIfTrue="1">
      <formula>M$23-$S$23*0.8</formula>
      <formula>M$23+$S$23*0.8</formula>
    </cfRule>
  </conditionalFormatting>
  <conditionalFormatting sqref="M42:Q42">
    <cfRule type="cellIs" priority="51" operator="notBetween" dxfId="1" stopIfTrue="1">
      <formula>M$41-$S$41</formula>
      <formula>M$41+$S$41</formula>
    </cfRule>
    <cfRule type="cellIs" priority="52" operator="notBetween" dxfId="0" stopIfTrue="1">
      <formula>M$41-$S$41*0.8</formula>
      <formula>M$41+$S$41*0.8</formula>
    </cfRule>
  </conditionalFormatting>
  <conditionalFormatting sqref="M44:Q44">
    <cfRule type="cellIs" priority="49" operator="notBetween" dxfId="1" stopIfTrue="1">
      <formula>M$43-$S$43</formula>
      <formula>M$43+$S$43</formula>
    </cfRule>
    <cfRule type="cellIs" priority="50" operator="notBetween" dxfId="0" stopIfTrue="1">
      <formula>M$43-$S$43*0.8</formula>
      <formula>M$43+$S$43*0.8</formula>
    </cfRule>
  </conditionalFormatting>
  <conditionalFormatting sqref="M46:Q46">
    <cfRule type="cellIs" priority="47" operator="notBetween" dxfId="1" stopIfTrue="1">
      <formula>M$45-$S$45</formula>
      <formula>M$45+$S$45</formula>
    </cfRule>
    <cfRule type="cellIs" priority="48" operator="notBetween" dxfId="0" stopIfTrue="1">
      <formula>M$45-$S$45*0.8</formula>
      <formula>M$45+$S$45*0.8</formula>
    </cfRule>
  </conditionalFormatting>
  <conditionalFormatting sqref="M65:Q65">
    <cfRule type="cellIs" priority="45" operator="notBetween" dxfId="1" stopIfTrue="1">
      <formula>M$64-$S$64</formula>
      <formula>M$64+$S$64</formula>
    </cfRule>
    <cfRule type="cellIs" priority="46" operator="notBetween" dxfId="0" stopIfTrue="1">
      <formula>M$64-$S$64*0.8</formula>
      <formula>M$64+$S$64*0.8</formula>
    </cfRule>
  </conditionalFormatting>
  <conditionalFormatting sqref="M67">
    <cfRule type="cellIs" priority="43" operator="notBetween" dxfId="1" stopIfTrue="1">
      <formula>M$66-$S$66</formula>
      <formula>M$66+$S$66</formula>
    </cfRule>
    <cfRule type="cellIs" priority="44" operator="notBetween" dxfId="0" stopIfTrue="1">
      <formula>M$66-$S$66*0.8</formula>
      <formula>M$66+$S$66*0.8</formula>
    </cfRule>
  </conditionalFormatting>
  <conditionalFormatting sqref="N67:Q67">
    <cfRule type="cellIs" priority="41" operator="notBetween" dxfId="1" stopIfTrue="1">
      <formula>N$66-$S$66</formula>
      <formula>N$66+$S$66</formula>
    </cfRule>
    <cfRule type="cellIs" priority="42" operator="notBetween" dxfId="0" stopIfTrue="1">
      <formula>N$66-$S$66*0.8</formula>
      <formula>N$66+$S$66*0.8</formula>
    </cfRule>
  </conditionalFormatting>
  <conditionalFormatting sqref="F69:J69">
    <cfRule type="cellIs" priority="139" operator="notBetween" dxfId="1" stopIfTrue="1">
      <formula>F$68-$S$68</formula>
      <formula>F$68+$S$68</formula>
    </cfRule>
    <cfRule type="cellIs" priority="140" operator="notBetween" dxfId="0" stopIfTrue="1">
      <formula>F$68-$S$68*0.8</formula>
      <formula>F$68+$S$68*0.8</formula>
    </cfRule>
  </conditionalFormatting>
  <conditionalFormatting sqref="M69:Q69">
    <cfRule type="cellIs" priority="39" operator="notBetween" dxfId="1" stopIfTrue="1">
      <formula>M$68-$S$68</formula>
      <formula>M$68+$S$68</formula>
    </cfRule>
    <cfRule type="cellIs" priority="40" operator="notBetween" dxfId="0" stopIfTrue="1">
      <formula>M$68-$S$68*0.8</formula>
      <formula>M$68+$S$68*0.8</formula>
    </cfRule>
  </conditionalFormatting>
  <conditionalFormatting sqref="F71:J71">
    <cfRule type="cellIs" priority="137" operator="notBetween" dxfId="1" stopIfTrue="1">
      <formula>F$70-$S$70</formula>
      <formula>F$70+$S$70</formula>
    </cfRule>
    <cfRule type="cellIs" priority="138" operator="notBetween" dxfId="0" stopIfTrue="1">
      <formula>F$70-$S$70*0.8</formula>
      <formula>F$70+$S$70*0.8</formula>
    </cfRule>
  </conditionalFormatting>
  <conditionalFormatting sqref="M71:Q71">
    <cfRule type="cellIs" priority="37" operator="notBetween" dxfId="1" stopIfTrue="1">
      <formula>M$70-$S$70</formula>
      <formula>M$70+$S$70</formula>
    </cfRule>
    <cfRule type="cellIs" priority="38" operator="notBetween" dxfId="0" stopIfTrue="1">
      <formula>M$70-$S$70*0.8</formula>
      <formula>M$70+$S$70*0.8</formula>
    </cfRule>
  </conditionalFormatting>
  <conditionalFormatting sqref="M73:Q73">
    <cfRule type="cellIs" priority="35" operator="notBetween" dxfId="1" stopIfTrue="1">
      <formula>M$72-$S$72</formula>
      <formula>M$72+$S$72</formula>
    </cfRule>
    <cfRule type="cellIs" priority="36" operator="notBetween" dxfId="0" stopIfTrue="1">
      <formula>M$72-$S$72*0.8</formula>
      <formula>M$72+$S$72*0.8</formula>
    </cfRule>
  </conditionalFormatting>
  <conditionalFormatting sqref="M75:Q75">
    <cfRule type="cellIs" priority="33" operator="notBetween" dxfId="1" stopIfTrue="1">
      <formula>M$74-$S$74</formula>
      <formula>M$74+$S$74</formula>
    </cfRule>
    <cfRule type="cellIs" priority="34" operator="notBetween" dxfId="0" stopIfTrue="1">
      <formula>M$74-$S$74*0.8</formula>
      <formula>M$74+$S$74*0.8</formula>
    </cfRule>
  </conditionalFormatting>
  <conditionalFormatting sqref="M77:Q77">
    <cfRule type="cellIs" priority="31" operator="notBetween" dxfId="1" stopIfTrue="1">
      <formula>M$76-$S$76</formula>
      <formula>M$76+$S$76</formula>
    </cfRule>
    <cfRule type="cellIs" priority="32" operator="notBetween" dxfId="0" stopIfTrue="1">
      <formula>M$76-$S$76*0.8</formula>
      <formula>M$76+$S$76*0.8</formula>
    </cfRule>
  </conditionalFormatting>
  <conditionalFormatting sqref="M79:Q79">
    <cfRule type="cellIs" priority="29" operator="notBetween" dxfId="1" stopIfTrue="1">
      <formula>M$78-$S$78</formula>
      <formula>M$78+$S$78</formula>
    </cfRule>
    <cfRule type="cellIs" priority="30" operator="notBetween" dxfId="0" stopIfTrue="1">
      <formula>M$78-$S$78*0.8</formula>
      <formula>M$78+$S$78*0.8</formula>
    </cfRule>
  </conditionalFormatting>
  <conditionalFormatting sqref="M81:Q81">
    <cfRule type="cellIs" priority="27" operator="notBetween" dxfId="1" stopIfTrue="1">
      <formula>M$80-$S$80</formula>
      <formula>M$80+$S$80</formula>
    </cfRule>
    <cfRule type="cellIs" priority="28" operator="notBetween" dxfId="0" stopIfTrue="1">
      <formula>M$80-$S$80*0.8</formula>
      <formula>M$80+$S$80*0.8</formula>
    </cfRule>
  </conditionalFormatting>
  <conditionalFormatting sqref="M83:Q83">
    <cfRule type="cellIs" priority="25" operator="notBetween" dxfId="1" stopIfTrue="1">
      <formula>M$82-$S$82</formula>
      <formula>M$82+$S$82</formula>
    </cfRule>
    <cfRule type="cellIs" priority="26" operator="notBetween" dxfId="0" stopIfTrue="1">
      <formula>M$82-$S$82*0.8</formula>
      <formula>M$82+$S$82*0.8</formula>
    </cfRule>
  </conditionalFormatting>
  <conditionalFormatting sqref="M85:Q85">
    <cfRule type="cellIs" priority="23" operator="notBetween" dxfId="1" stopIfTrue="1">
      <formula>M$84-$S$84</formula>
      <formula>M$84+$S$84</formula>
    </cfRule>
    <cfRule type="cellIs" priority="24" operator="notBetween" dxfId="0" stopIfTrue="1">
      <formula>M$84-$S$84*0.8</formula>
      <formula>M$84+$S$84*0.8</formula>
    </cfRule>
  </conditionalFormatting>
  <conditionalFormatting sqref="M87:Q87">
    <cfRule type="cellIs" priority="21" operator="notBetween" dxfId="1" stopIfTrue="1">
      <formula>M$86-$S$86</formula>
      <formula>M$86+$S$86</formula>
    </cfRule>
    <cfRule type="cellIs" priority="22" operator="notBetween" dxfId="0" stopIfTrue="1">
      <formula>M$86-$S$86*0.8</formula>
      <formula>M$86+$S$86*0.8</formula>
    </cfRule>
  </conditionalFormatting>
  <conditionalFormatting sqref="M89:Q89">
    <cfRule type="cellIs" priority="19" operator="notBetween" dxfId="1" stopIfTrue="1">
      <formula>M$88-$S$88</formula>
      <formula>M$88+$S$88</formula>
    </cfRule>
    <cfRule type="cellIs" priority="20" operator="notBetween" dxfId="0" stopIfTrue="1">
      <formula>M$88-$S$88*0.8</formula>
      <formula>M$88+$S$88*0.8</formula>
    </cfRule>
  </conditionalFormatting>
  <conditionalFormatting sqref="M91:Q91">
    <cfRule type="cellIs" priority="17" operator="notBetween" dxfId="1" stopIfTrue="1">
      <formula>M$90-$S$90</formula>
      <formula>M$90+$S$90</formula>
    </cfRule>
    <cfRule type="cellIs" priority="18" operator="notBetween" dxfId="0" stopIfTrue="1">
      <formula>M$90-$S$90*0.8</formula>
      <formula>M$90+$S$90*0.8</formula>
    </cfRule>
  </conditionalFormatting>
  <conditionalFormatting sqref="M93:Q93">
    <cfRule type="cellIs" priority="15" operator="notBetween" dxfId="1" stopIfTrue="1">
      <formula>M$92-$S$92</formula>
      <formula>M$92+$S$92</formula>
    </cfRule>
    <cfRule type="cellIs" priority="16" operator="notBetween" dxfId="0" stopIfTrue="1">
      <formula>M$92-$S$92*0.8</formula>
      <formula>M$92+$S$92*0.8</formula>
    </cfRule>
  </conditionalFormatting>
  <conditionalFormatting sqref="M95:Q95">
    <cfRule type="cellIs" priority="13" operator="notBetween" dxfId="1" stopIfTrue="1">
      <formula>M$94-$S$94</formula>
      <formula>M$94+$S$94</formula>
    </cfRule>
    <cfRule type="cellIs" priority="14" operator="notBetween" dxfId="0" stopIfTrue="1">
      <formula>M$94-$S$94*0.8</formula>
      <formula>M$94+$S$94*0.8</formula>
    </cfRule>
  </conditionalFormatting>
  <conditionalFormatting sqref="M97:Q97">
    <cfRule type="cellIs" priority="11" operator="notBetween" dxfId="1" stopIfTrue="1">
      <formula>M$96-$S$96</formula>
      <formula>M$96+$S$96</formula>
    </cfRule>
    <cfRule type="cellIs" priority="12" operator="notBetween" dxfId="0" stopIfTrue="1">
      <formula>M$96-$S$96*0.8</formula>
      <formula>M$96+$S$96*0.8</formula>
    </cfRule>
  </conditionalFormatting>
  <conditionalFormatting sqref="M99:Q99">
    <cfRule type="cellIs" priority="9" operator="notBetween" dxfId="1" stopIfTrue="1">
      <formula>M$98-$S$98</formula>
      <formula>M$98+$S$98</formula>
    </cfRule>
    <cfRule type="cellIs" priority="10" operator="notBetween" dxfId="0" stopIfTrue="1">
      <formula>M$98-$S$98*0.8</formula>
      <formula>M$98+$S$98*0.8</formula>
    </cfRule>
  </conditionalFormatting>
  <conditionalFormatting sqref="M101:Q101">
    <cfRule type="cellIs" priority="7" operator="notBetween" dxfId="1" stopIfTrue="1">
      <formula>M$100-$S$100</formula>
      <formula>M$100+$S$100</formula>
    </cfRule>
    <cfRule type="cellIs" priority="8" operator="notBetween" dxfId="0" stopIfTrue="1">
      <formula>M$100-$S$100*0.8</formula>
      <formula>M$100+$S$100*0.8</formula>
    </cfRule>
  </conditionalFormatting>
  <conditionalFormatting sqref="M103:Q103">
    <cfRule type="cellIs" priority="5" operator="notBetween" dxfId="1" stopIfTrue="1">
      <formula>M$102-$S$102</formula>
      <formula>M$102+$S$102</formula>
    </cfRule>
    <cfRule type="cellIs" priority="6" operator="notBetween" dxfId="0" stopIfTrue="1">
      <formula>M$102-$S$102*0.8</formula>
      <formula>M$102+$S$102*0.8</formula>
    </cfRule>
  </conditionalFormatting>
  <conditionalFormatting sqref="F30:J30">
    <cfRule type="cellIs" priority="3" operator="notBetween" dxfId="1" stopIfTrue="1">
      <formula>F$31-$S$31</formula>
      <formula>F$31+$S$31</formula>
    </cfRule>
    <cfRule type="cellIs" priority="4" operator="notBetween" dxfId="0" stopIfTrue="1">
      <formula>F$31-$S$31*0.8</formula>
      <formula>F$31+$S$31*0.8</formula>
    </cfRule>
  </conditionalFormatting>
  <conditionalFormatting sqref="M30:Q30">
    <cfRule type="cellIs" priority="1" operator="notBetween" dxfId="1" stopIfTrue="1">
      <formula>M$31-$S$31</formula>
      <formula>M$31+$S$31</formula>
    </cfRule>
    <cfRule type="cellIs" priority="2" operator="notBetween" dxfId="0" stopIfTrue="1">
      <formula>M$31-$S$31*0.8</formula>
      <formula>M$31+$S$31*0.8</formula>
    </cfRule>
  </conditionalFormatting>
  <dataValidations count="3">
    <dataValidation sqref="K9:K48 K64:K103" showDropDown="0" showInputMessage="1" showErrorMessage="1" allowBlank="0" type="list">
      <formula1>"-, Pass, Fail"</formula1>
    </dataValidation>
    <dataValidation sqref="L9:L48 L64:L103" showDropDown="0" showInputMessage="1" showErrorMessage="1" allowBlank="0" type="list">
      <formula1>"-, A, B, C"</formula1>
    </dataValidation>
    <dataValidation sqref="S4 S59" showDropDown="0" showInputMessage="1" showErrorMessage="1" allowBlank="0" type="list">
      <formula1>"ST1 - TMA40522 (DEVT678),ST2 - TMA40523 (DEVT679),ST3 - TMA40524 (DEVT680),ST4 - TMA40525 (DEVT681),ST5 - TMA40526 (DEVT682),ST6 - TMA40532 (DEVT683),ST7 - TMA40533 (DEVT684),Cold Chamber - TMA56109 (DEVT709)"</formula1>
    </dataValidation>
  </dataValidations>
  <printOptions horizontalCentered="1" verticalCentered="1"/>
  <pageMargins left="0.3149606299212598" right="0.3149606299212598" top="0.3149606299212598" bottom="0.5118110236220472" header="0.3149606299212598" footer="0.3149606299212598"/>
  <pageSetup orientation="landscape" paperSize="9" scale="65" fitToHeight="0"/>
  <headerFooter alignWithMargins="0">
    <oddHeader>&amp;L&amp;G</oddHeader>
    <oddFooter>&amp;CTest Bed Calibration Results page &amp;P of &amp;N&amp;R&amp;"Calibri"&amp;11&amp;K000000&amp;"Calibri,Regular"&amp;11&amp;K000000&amp;F_x000d_&amp;1#&amp;"Calibri"&amp;10 &amp;K737373_x000a_&amp;D&amp;LCaterpillar: Confidential Green</oddFooter>
    <evenHeader/>
    <evenFooter/>
    <firstHeader/>
    <firstFooter/>
  </headerFooter>
  <rowBreaks count="1" manualBreakCount="1">
    <brk id="55" min="0" max="16383" man="1"/>
  </rowBreaks>
  <legacyDrawing r:id="anysvml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11">
    <tabColor rgb="FFE0E0E0"/>
    <outlinePr summaryBelow="1" summaryRight="1"/>
    <pageSetUpPr fitToPage="1"/>
  </sheetPr>
  <dimension ref="A1:U110"/>
  <sheetViews>
    <sheetView topLeftCell="A67" zoomScale="90" zoomScaleNormal="90" workbookViewId="0">
      <selection activeCell="M81" sqref="M81:Q81"/>
    </sheetView>
  </sheetViews>
  <sheetFormatPr baseColWidth="8" defaultColWidth="9.1796875" defaultRowHeight="12.5"/>
  <cols>
    <col width="3.7265625" customWidth="1" style="311" min="1" max="1"/>
    <col width="11.7265625" bestFit="1" customWidth="1" style="311" min="2" max="2"/>
    <col width="20.7265625" customWidth="1" style="179" min="3" max="3"/>
    <col width="9.453125" bestFit="1" customWidth="1" style="311" min="4" max="4"/>
    <col width="21.81640625" customWidth="1" style="311" min="5" max="5"/>
    <col width="8.7265625" customWidth="1" style="311" min="6" max="9"/>
    <col width="9.26953125" bestFit="1" customWidth="1" style="311" min="10" max="10"/>
    <col width="7.81640625" customWidth="1" style="311" min="11" max="11"/>
    <col width="8.7265625" customWidth="1" style="311" min="12" max="17"/>
    <col width="9.7265625" customWidth="1" style="311" min="18" max="18"/>
    <col width="15" bestFit="1" customWidth="1" style="311" min="19" max="19"/>
    <col width="18.453125" bestFit="1" customWidth="1" style="311" min="20" max="20"/>
    <col width="9.1796875" customWidth="1" style="311" min="21" max="16384"/>
  </cols>
  <sheetData>
    <row r="1" ht="13" customFormat="1" customHeight="1" s="297" thickTop="1">
      <c r="A1" s="31" t="n"/>
      <c r="B1" s="32" t="n"/>
      <c r="C1" s="32" t="n"/>
      <c r="D1" s="32" t="n"/>
      <c r="E1" s="32" t="n"/>
      <c r="F1" s="32" t="n"/>
      <c r="G1" s="32" t="n"/>
      <c r="H1" s="32" t="n"/>
      <c r="I1" s="32" t="n"/>
      <c r="J1" s="45" t="n"/>
      <c r="K1" s="45" t="n"/>
      <c r="L1" s="45" t="n"/>
      <c r="M1" s="45" t="n"/>
      <c r="N1" s="45" t="n"/>
      <c r="O1" s="45" t="n"/>
      <c r="P1" s="45" t="n"/>
      <c r="Q1" s="45" t="n"/>
      <c r="R1" s="45" t="n"/>
      <c r="S1" s="45" t="n"/>
      <c r="T1" s="45" t="n"/>
      <c r="U1" s="75" t="n"/>
    </row>
    <row r="2" ht="25" customFormat="1" customHeight="1" s="5">
      <c r="A2" s="375" t="inlineStr">
        <is>
          <t>Test Bed Pressure Measurement Calibration</t>
        </is>
      </c>
      <c r="B2" s="366" t="n"/>
      <c r="C2" s="366" t="n"/>
      <c r="D2" s="366" t="n"/>
      <c r="E2" s="366" t="n"/>
      <c r="F2" s="366" t="n"/>
      <c r="G2" s="366" t="n"/>
      <c r="H2" s="366" t="n"/>
      <c r="I2" s="366" t="n"/>
      <c r="J2" s="366" t="n"/>
      <c r="K2" s="366" t="n"/>
      <c r="L2" s="366" t="n"/>
      <c r="M2" s="366" t="n"/>
      <c r="N2" s="366" t="n"/>
      <c r="O2" s="366" t="n"/>
      <c r="P2" s="366" t="n"/>
      <c r="Q2" s="366" t="n"/>
      <c r="R2" s="366" t="n"/>
      <c r="S2" s="366" t="n"/>
      <c r="T2" s="366" t="n"/>
      <c r="U2" s="376" t="n"/>
    </row>
    <row r="3" ht="15" customFormat="1" customHeight="1" s="5" thickBot="1">
      <c r="A3" s="33" t="n"/>
      <c r="B3" s="10" t="n"/>
      <c r="C3" s="11" t="n"/>
      <c r="D3" s="11" t="n"/>
      <c r="E3" s="11" t="n"/>
      <c r="F3" s="11" t="n"/>
      <c r="G3" s="11" t="n"/>
      <c r="H3" s="10" t="n"/>
      <c r="I3" s="76" t="n"/>
      <c r="J3" s="10" t="n"/>
      <c r="K3" s="10" t="n"/>
      <c r="L3" s="10" t="n"/>
      <c r="M3" s="10" t="n"/>
      <c r="N3" s="10" t="n"/>
      <c r="O3" s="10" t="n"/>
      <c r="P3" s="10" t="n"/>
      <c r="Q3" s="10" t="n"/>
      <c r="R3" s="10" t="n"/>
      <c r="S3" s="10" t="n"/>
      <c r="T3" s="10" t="n"/>
      <c r="U3" s="34" t="n"/>
    </row>
    <row r="4" ht="15" customFormat="1" customHeight="1" s="297" thickBot="1">
      <c r="A4" s="33" t="n"/>
      <c r="B4" s="9" t="inlineStr">
        <is>
          <t xml:space="preserve">Job No. </t>
        </is>
      </c>
      <c r="C4" s="153">
        <f>Title!C4</f>
        <v/>
      </c>
      <c r="D4" s="23" t="n"/>
      <c r="E4" s="145" t="n"/>
      <c r="F4" s="10" t="n"/>
      <c r="G4" s="9" t="inlineStr">
        <is>
          <t xml:space="preserve">Calibrated By. </t>
        </is>
      </c>
      <c r="H4" s="377">
        <f>Title!C3</f>
        <v/>
      </c>
      <c r="I4" s="378" t="n"/>
      <c r="J4" s="10" t="n"/>
      <c r="K4" s="10" t="n"/>
      <c r="L4" s="9" t="inlineStr">
        <is>
          <t xml:space="preserve">Calibration Date. </t>
        </is>
      </c>
      <c r="M4" s="379">
        <f>Title!C9</f>
        <v/>
      </c>
      <c r="N4" s="380" t="n"/>
      <c r="O4" s="378" t="n"/>
      <c r="P4" s="12" t="n"/>
      <c r="Q4" s="9" t="n"/>
      <c r="R4" s="9" t="inlineStr">
        <is>
          <t xml:space="preserve">Bed No. </t>
        </is>
      </c>
      <c r="S4" s="381">
        <f>Title!F3</f>
        <v/>
      </c>
      <c r="T4" s="378" t="n"/>
      <c r="U4" s="77" t="n"/>
    </row>
    <row r="5" ht="15" customFormat="1" customHeight="1" s="297">
      <c r="A5" s="33" t="n"/>
      <c r="B5" s="10" t="n"/>
      <c r="C5" s="11" t="n"/>
      <c r="D5" s="11" t="n"/>
      <c r="E5" s="11" t="n"/>
      <c r="F5" s="9" t="n"/>
      <c r="G5" s="11" t="n"/>
      <c r="H5" s="9" t="n"/>
      <c r="I5" s="9" t="n"/>
      <c r="J5" s="12" t="n"/>
      <c r="K5" s="12" t="n"/>
      <c r="L5" s="12" t="n"/>
      <c r="M5" s="12" t="n"/>
      <c r="N5" s="10" t="n"/>
      <c r="O5" s="12" t="n"/>
      <c r="P5" s="12" t="n"/>
      <c r="Q5" s="12" t="n"/>
      <c r="R5" s="12" t="n"/>
      <c r="S5" s="12" t="n"/>
      <c r="T5" s="12" t="n"/>
      <c r="U5" s="35" t="n"/>
    </row>
    <row r="6" ht="15" customFormat="1" customHeight="1" s="20">
      <c r="A6" s="36" t="inlineStr">
        <is>
          <t>Acceptable Deviation: 0.2% Full Scale.  Adjust if error &gt;80% accepted tolerance.</t>
        </is>
      </c>
      <c r="B6" s="11" t="n"/>
      <c r="C6" s="11" t="n"/>
      <c r="D6" s="11" t="n"/>
      <c r="E6" s="11" t="n"/>
      <c r="F6" s="11" t="n"/>
      <c r="G6" s="78" t="n"/>
      <c r="H6" s="78" t="n"/>
      <c r="I6" s="78" t="n"/>
      <c r="J6" s="11" t="n"/>
      <c r="K6" s="11" t="n"/>
      <c r="L6" s="11" t="n"/>
      <c r="M6" s="11" t="n"/>
      <c r="N6" s="11" t="n"/>
      <c r="O6" s="11" t="n"/>
      <c r="P6" s="11" t="n"/>
      <c r="Q6" s="11" t="n"/>
      <c r="R6" s="11" t="n"/>
      <c r="S6" s="11" t="n"/>
      <c r="T6" s="11" t="n"/>
      <c r="U6" s="37" t="n"/>
    </row>
    <row r="7" ht="15" customFormat="1" customHeight="1" s="20" thickBot="1">
      <c r="A7" s="33" t="n"/>
      <c r="B7" s="76" t="n"/>
      <c r="C7" s="76" t="n"/>
      <c r="D7" s="76" t="n"/>
      <c r="E7" s="76" t="n"/>
      <c r="F7" s="76" t="n"/>
      <c r="G7" s="76" t="n"/>
      <c r="H7" s="76" t="n"/>
      <c r="I7" s="76" t="n"/>
      <c r="J7" s="76" t="n"/>
      <c r="K7" s="76" t="n"/>
      <c r="L7" s="12" t="n"/>
      <c r="M7" s="12" t="n"/>
      <c r="N7" s="12" t="n"/>
      <c r="O7" s="12" t="n"/>
      <c r="P7" s="12" t="n"/>
      <c r="Q7" s="12" t="n"/>
      <c r="R7" s="12" t="n"/>
      <c r="S7" s="12" t="n"/>
      <c r="T7" s="12" t="n"/>
      <c r="U7" s="35" t="n"/>
    </row>
    <row r="8" ht="15" customFormat="1" customHeight="1" s="297" thickBot="1">
      <c r="A8" s="33" t="n"/>
      <c r="B8" s="24" t="inlineStr">
        <is>
          <t>Channel No.</t>
        </is>
      </c>
      <c r="C8" s="24" t="inlineStr">
        <is>
          <t>Channel Name</t>
        </is>
      </c>
      <c r="D8" s="79" t="inlineStr">
        <is>
          <t>Range Min</t>
        </is>
      </c>
      <c r="E8" s="79" t="inlineStr">
        <is>
          <t>Range Max</t>
        </is>
      </c>
      <c r="F8" s="382" t="inlineStr">
        <is>
          <t>Pre-Calibration Set Points</t>
        </is>
      </c>
      <c r="G8" s="383" t="n"/>
      <c r="H8" s="383" t="n"/>
      <c r="I8" s="383" t="n"/>
      <c r="J8" s="384" t="n"/>
      <c r="K8" s="24" t="inlineStr">
        <is>
          <t>Result</t>
        </is>
      </c>
      <c r="L8" s="80" t="inlineStr">
        <is>
          <t>PC Used</t>
        </is>
      </c>
      <c r="M8" s="382" t="inlineStr">
        <is>
          <t>Post-Calibration Set Points</t>
        </is>
      </c>
      <c r="N8" s="383" t="n"/>
      <c r="O8" s="383" t="n"/>
      <c r="P8" s="383" t="n"/>
      <c r="Q8" s="384" t="n"/>
      <c r="R8" s="24" t="inlineStr">
        <is>
          <t>Units</t>
        </is>
      </c>
      <c r="S8" s="81" t="inlineStr">
        <is>
          <t>Tolerance</t>
        </is>
      </c>
      <c r="T8" s="24" t="inlineStr">
        <is>
          <t>Transducer Serial No.</t>
        </is>
      </c>
      <c r="U8" s="35" t="n"/>
    </row>
    <row r="9" ht="15" customFormat="1" customHeight="1" s="297" thickBot="1">
      <c r="A9" s="33" t="n"/>
      <c r="B9" s="247" t="n">
        <v>41</v>
      </c>
      <c r="C9" s="247" t="inlineStr">
        <is>
          <t>PTX 41</t>
        </is>
      </c>
      <c r="D9" s="247" t="n">
        <v>-20</v>
      </c>
      <c r="E9" s="385" t="n">
        <v>0</v>
      </c>
      <c r="F9" s="126">
        <f>IF(AND(D9&lt;0,E9=0)=TRUE,0.98*D9,IF(AND(D9=0,E9&gt;0)=TRUE,0,IF(D9=-E9,0.98*D9,IF(AND(D9=-20,E9=100)=TRUE,0.98*D9,IF(AND(D9=-35,E9=300)=TRUE,0.98*D9,IF(AND(D9=-100,E9=160)=TRUE,80,IF(AND(D9=-100,E9=900)=TRUE,80,"x")))))))</f>
        <v/>
      </c>
      <c r="G9" s="82">
        <f>IF(AND(D9&lt;0,E9=0)=TRUE,0.75*D9,IF(AND(D9=0,E9&gt;0)=TRUE,0.25*E9,IF(D9=-E9,0.5*D9,IF(AND(D9=-20,E9=100)=TRUE,0,IF(AND(D9=-35,E9=300)=TRUE,0,IF(AND(D9=-100,E9=160)=TRUE,0,IF(AND(D9=-100,E9=900)=TRUE,0,"x")))))))</f>
        <v/>
      </c>
      <c r="H9" s="82">
        <f>IF(AND(D9&lt;0,E9=0)=TRUE,0.5*D9,IF(AND(D9=0,E9&gt;0)=TRUE,0.5*E9,IF(D9=-E9,0,IF(AND(D9=-20,E9=100)=TRUE,0.33*E9,IF(AND(D9=-35,E9=300)=TRUE,0.33*E9,IF(AND(D9=-100,E9=160)=TRUE,0.33*E9,IF(AND(D9=-100,E9=900)=TRUE,0.33*E9,"x")))))))</f>
        <v/>
      </c>
      <c r="I9" s="82">
        <f>IF(AND(D9&lt;0,E9=0)=TRUE,0.25*D9,IF(AND(D9=0,E9&gt;0)=TRUE,0.75*E9,IF(D9=-E9,0.5*E9,IF(AND(D9=-20,E9=100)=TRUE,0.66*E9,IF(AND(D9=-35,E9=300)=TRUE,0.66*E9,IF(AND(D9=-100,E9=160)=TRUE,0.66*E9,IF(AND(D9=-100,E9=900)=TRUE,0.66*E9,"x")))))))</f>
        <v/>
      </c>
      <c r="J9" s="83">
        <f>IF(AND(D9&lt;0,E9=0)=TRUE,0*D9,IF(AND(D9=0,E9&gt;0)=TRUE,0.98*E9,IF(D9=-E9,0.98*E9,IF(AND(D9=-20,E9=100)=TRUE,0.98*E9,IF(AND(D9=-35,E9=300)=TRUE,0.98*E9,IF(AND(D9=-100,E9=160)=TRUE,0.98*E9,IF(AND(D9=-100,E9=900)=TRUE,0.98*E9,"x")))))))</f>
        <v/>
      </c>
      <c r="K9" s="386" t="inlineStr">
        <is>
          <t>Fail</t>
        </is>
      </c>
      <c r="L9" s="387" t="inlineStr">
        <is>
          <t>A</t>
        </is>
      </c>
      <c r="M9" s="84">
        <f>F9</f>
        <v/>
      </c>
      <c r="N9" s="85">
        <f>G9</f>
        <v/>
      </c>
      <c r="O9" s="86">
        <f>H9</f>
        <v/>
      </c>
      <c r="P9" s="85">
        <f>I9</f>
        <v/>
      </c>
      <c r="Q9" s="87">
        <f>J9</f>
        <v/>
      </c>
      <c r="R9" s="388" t="inlineStr">
        <is>
          <t>kPa</t>
        </is>
      </c>
      <c r="S9" s="389">
        <f>IF(D9&lt;E9,(E9-D9)*0.002,"x")</f>
        <v/>
      </c>
      <c r="T9" s="388" t="n">
        <v>3559889</v>
      </c>
      <c r="U9" s="35" t="n"/>
    </row>
    <row r="10" ht="15" customFormat="1" customHeight="1" s="297" thickBot="1">
      <c r="A10" s="33" t="n"/>
      <c r="B10" s="390" t="n"/>
      <c r="C10" s="390" t="n"/>
      <c r="D10" s="390" t="n"/>
      <c r="E10" s="391" t="n"/>
      <c r="F10" s="392" t="n">
        <v>-19.69</v>
      </c>
      <c r="G10" s="393" t="n">
        <v>-15.05</v>
      </c>
      <c r="H10" s="393" t="n">
        <v>-9.99</v>
      </c>
      <c r="I10" s="393" t="n">
        <v>-4.97</v>
      </c>
      <c r="J10" s="394" t="n">
        <v>0.06</v>
      </c>
      <c r="K10" s="390" t="n"/>
      <c r="L10" s="390" t="n"/>
      <c r="M10" s="392" t="n">
        <v>-19.59</v>
      </c>
      <c r="N10" s="393" t="n">
        <v>-14.99</v>
      </c>
      <c r="O10" s="393" t="n">
        <v>-10</v>
      </c>
      <c r="P10" s="393" t="n">
        <v>-5</v>
      </c>
      <c r="Q10" s="394" t="n">
        <v>0</v>
      </c>
      <c r="R10" s="390" t="n"/>
      <c r="S10" s="395" t="n"/>
      <c r="T10" s="390" t="n"/>
      <c r="U10" s="35" t="n"/>
    </row>
    <row r="11" ht="15" customFormat="1" customHeight="1" s="297" thickBot="1">
      <c r="A11" s="33" t="n"/>
      <c r="B11" s="247" t="n">
        <v>42</v>
      </c>
      <c r="C11" s="247" t="inlineStr">
        <is>
          <t>PTX 42</t>
        </is>
      </c>
      <c r="D11" s="247" t="n">
        <v>-20</v>
      </c>
      <c r="E11" s="385" t="n">
        <v>0</v>
      </c>
      <c r="F11" s="126">
        <f>IF(AND(D11&lt;0,E11=0)=TRUE,0.98*D11,IF(AND(D11=0,E11&gt;0)=TRUE,0,IF(D11=-E11,0.98*D11,IF(AND(D11=-20,E11=100)=TRUE,0.98*D11,IF(AND(D11=-35,E11=300)=TRUE,0.98*D11,IF(AND(D11=-100,E11=160)=TRUE,80,IF(AND(D11=-100,E11=900)=TRUE,80,"x")))))))</f>
        <v/>
      </c>
      <c r="G11" s="82">
        <f>IF(AND(D11&lt;0,E11=0)=TRUE,0.75*D11,IF(AND(D11=0,E11&gt;0)=TRUE,0.25*E11,IF(D11=-E11,0.5*D11,IF(AND(D11=-20,E11=100)=TRUE,0,IF(AND(D11=-35,E11=300)=TRUE,0,IF(AND(D11=-100,E11=160)=TRUE,0,IF(AND(D11=-100,E11=900)=TRUE,0,"x")))))))</f>
        <v/>
      </c>
      <c r="H11" s="82">
        <f>IF(AND(D11&lt;0,E11=0)=TRUE,0.5*D11,IF(AND(D11=0,E11&gt;0)=TRUE,0.5*E11,IF(D11=-E11,0,IF(AND(D11=-20,E11=100)=TRUE,0.33*E11,IF(AND(D11=-35,E11=300)=TRUE,0.33*E11,IF(AND(D11=-100,E11=160)=TRUE,0.33*E11,IF(AND(D11=-100,E11=900)=TRUE,0.33*E11,"x")))))))</f>
        <v/>
      </c>
      <c r="I11" s="82">
        <f>IF(AND(D11&lt;0,E11=0)=TRUE,0.25*D11,IF(AND(D11=0,E11&gt;0)=TRUE,0.75*E11,IF(D11=-E11,0.5*E11,IF(AND(D11=-20,E11=100)=TRUE,0.66*E11,IF(AND(D11=-35,E11=300)=TRUE,0.66*E11,IF(AND(D11=-100,E11=160)=TRUE,0.66*E11,IF(AND(D11=-100,E11=900)=TRUE,0.66*E11,"x")))))))</f>
        <v/>
      </c>
      <c r="J11" s="83">
        <f>IF(AND(D11&lt;0,E11=0)=TRUE,0*D11,IF(AND(D11=0,E11&gt;0)=TRUE,0.98*E11,IF(D11=-E11,0.98*E11,IF(AND(D11=-20,E11=100)=TRUE,0.98*E11,IF(AND(D11=-35,E11=300)=TRUE,0.98*E11,IF(AND(D11=-100,E11=160)=TRUE,0.98*E11,IF(AND(D11=-100,E11=900)=TRUE,0.98*E11,"x")))))))</f>
        <v/>
      </c>
      <c r="K11" s="386" t="inlineStr">
        <is>
          <t>Fail</t>
        </is>
      </c>
      <c r="L11" s="387" t="inlineStr">
        <is>
          <t>A</t>
        </is>
      </c>
      <c r="M11" s="84">
        <f>F11</f>
        <v/>
      </c>
      <c r="N11" s="85">
        <f>G11</f>
        <v/>
      </c>
      <c r="O11" s="86">
        <f>H11</f>
        <v/>
      </c>
      <c r="P11" s="85">
        <f>I11</f>
        <v/>
      </c>
      <c r="Q11" s="87">
        <f>J11</f>
        <v/>
      </c>
      <c r="R11" s="388" t="inlineStr">
        <is>
          <t>kPa</t>
        </is>
      </c>
      <c r="S11" s="389">
        <f>IF(D11&lt;E11,(E11-D11)*0.002,"x")</f>
        <v/>
      </c>
      <c r="T11" s="388" t="n">
        <v>3556550</v>
      </c>
      <c r="U11" s="35" t="n"/>
    </row>
    <row r="12" ht="15" customFormat="1" customHeight="1" s="297" thickBot="1">
      <c r="A12" s="33" t="n"/>
      <c r="B12" s="390" t="n"/>
      <c r="C12" s="390" t="n"/>
      <c r="D12" s="390" t="n"/>
      <c r="E12" s="391" t="n"/>
      <c r="F12" s="392" t="n">
        <v>-19.69</v>
      </c>
      <c r="G12" s="393" t="n">
        <v>-15.03</v>
      </c>
      <c r="H12" s="393" t="n">
        <v>-9.960000000000001</v>
      </c>
      <c r="I12" s="393" t="n">
        <v>-4.96</v>
      </c>
      <c r="J12" s="394" t="n">
        <v>0.04</v>
      </c>
      <c r="K12" s="390" t="n"/>
      <c r="L12" s="390" t="n"/>
      <c r="M12" s="392" t="n">
        <v>-19.59</v>
      </c>
      <c r="N12" s="393" t="n">
        <v>-14.99</v>
      </c>
      <c r="O12" s="393" t="n">
        <v>-9.99</v>
      </c>
      <c r="P12" s="393" t="n">
        <v>-5</v>
      </c>
      <c r="Q12" s="394" t="n">
        <v>0</v>
      </c>
      <c r="R12" s="390" t="n"/>
      <c r="S12" s="395" t="n"/>
      <c r="T12" s="390" t="n"/>
      <c r="U12" s="35" t="n"/>
    </row>
    <row r="13" ht="15" customFormat="1" customHeight="1" s="297" thickBot="1">
      <c r="A13" s="38" t="n"/>
      <c r="B13" s="247" t="n">
        <v>43</v>
      </c>
      <c r="C13" s="247" t="inlineStr">
        <is>
          <t>PTX 43</t>
        </is>
      </c>
      <c r="D13" s="247" t="n">
        <v>-20</v>
      </c>
      <c r="E13" s="385" t="n">
        <v>0</v>
      </c>
      <c r="F13" s="126">
        <f>IF(AND(D13&lt;0,E13=0)=TRUE,0.98*D13,IF(AND(D13=0,E13&gt;0)=TRUE,0,IF(D13=-E13,0.98*D13,IF(AND(D13=-20,E13=100)=TRUE,0.98*D13,IF(AND(D13=-35,E13=300)=TRUE,0.98*D13,IF(AND(D13=-100,E13=160)=TRUE,80,IF(AND(D13=-100,E13=900)=TRUE,80,"x")))))))</f>
        <v/>
      </c>
      <c r="G13" s="82">
        <f>IF(AND(D13&lt;0,E13=0)=TRUE,0.75*D13,IF(AND(D13=0,E13&gt;0)=TRUE,0.25*E13,IF(D13=-E13,0.5*D13,IF(AND(D13=-20,E13=100)=TRUE,0,IF(AND(D13=-35,E13=300)=TRUE,0,IF(AND(D13=-100,E13=160)=TRUE,0,IF(AND(D13=-100,E13=900)=TRUE,0,"x")))))))</f>
        <v/>
      </c>
      <c r="H13" s="82">
        <f>IF(AND(D13&lt;0,E13=0)=TRUE,0.5*D13,IF(AND(D13=0,E13&gt;0)=TRUE,0.5*E13,IF(D13=-E13,0,IF(AND(D13=-20,E13=100)=TRUE,0.33*E13,IF(AND(D13=-35,E13=300)=TRUE,0.33*E13,IF(AND(D13=-100,E13=160)=TRUE,0.33*E13,IF(AND(D13=-100,E13=900)=TRUE,0.33*E13,"x")))))))</f>
        <v/>
      </c>
      <c r="I13" s="82">
        <f>IF(AND(D13&lt;0,E13=0)=TRUE,0.25*D13,IF(AND(D13=0,E13&gt;0)=TRUE,0.75*E13,IF(D13=-E13,0.5*E13,IF(AND(D13=-20,E13=100)=TRUE,0.66*E13,IF(AND(D13=-35,E13=300)=TRUE,0.66*E13,IF(AND(D13=-100,E13=160)=TRUE,0.66*E13,IF(AND(D13=-100,E13=900)=TRUE,0.66*E13,"x")))))))</f>
        <v/>
      </c>
      <c r="J13" s="83">
        <f>IF(AND(D13&lt;0,E13=0)=TRUE,0*D13,IF(AND(D13=0,E13&gt;0)=TRUE,0.98*E13,IF(D13=-E13,0.98*E13,IF(AND(D13=-20,E13=100)=TRUE,0.98*E13,IF(AND(D13=-35,E13=300)=TRUE,0.98*E13,IF(AND(D13=-100,E13=160)=TRUE,0.98*E13,IF(AND(D13=-100,E13=900)=TRUE,0.98*E13,"x")))))))</f>
        <v/>
      </c>
      <c r="K13" s="386" t="inlineStr">
        <is>
          <t>Fail</t>
        </is>
      </c>
      <c r="L13" s="387" t="inlineStr">
        <is>
          <t>A</t>
        </is>
      </c>
      <c r="M13" s="84">
        <f>F13</f>
        <v/>
      </c>
      <c r="N13" s="85">
        <f>G13</f>
        <v/>
      </c>
      <c r="O13" s="86">
        <f>H13</f>
        <v/>
      </c>
      <c r="P13" s="85">
        <f>I13</f>
        <v/>
      </c>
      <c r="Q13" s="87">
        <f>J13</f>
        <v/>
      </c>
      <c r="R13" s="388" t="inlineStr">
        <is>
          <t>kPa</t>
        </is>
      </c>
      <c r="S13" s="389">
        <f>IF(D13&lt;E13,(E13-D13)*0.002,"x")</f>
        <v/>
      </c>
      <c r="T13" s="388" t="n">
        <v>3600023</v>
      </c>
      <c r="U13" s="35" t="n"/>
    </row>
    <row r="14" ht="15" customFormat="1" customHeight="1" s="297" thickBot="1">
      <c r="A14" s="38" t="n"/>
      <c r="B14" s="390" t="n"/>
      <c r="C14" s="390" t="n"/>
      <c r="D14" s="390" t="n"/>
      <c r="E14" s="391" t="n"/>
      <c r="F14" s="392" t="n">
        <v>-19.7</v>
      </c>
      <c r="G14" s="393" t="n">
        <v>-15.11</v>
      </c>
      <c r="H14" s="393" t="n">
        <v>-10.06</v>
      </c>
      <c r="I14" s="393" t="n">
        <v>-5.05</v>
      </c>
      <c r="J14" s="394" t="n">
        <v>0.12</v>
      </c>
      <c r="K14" s="390" t="n"/>
      <c r="L14" s="390" t="n"/>
      <c r="M14" s="392" t="n">
        <v>-19.6</v>
      </c>
      <c r="N14" s="393" t="n">
        <v>-15</v>
      </c>
      <c r="O14" s="393" t="n">
        <v>-9.99</v>
      </c>
      <c r="P14" s="393" t="n">
        <v>-5</v>
      </c>
      <c r="Q14" s="394" t="n">
        <v>0</v>
      </c>
      <c r="R14" s="390" t="n"/>
      <c r="S14" s="395" t="n"/>
      <c r="T14" s="390" t="n"/>
      <c r="U14" s="35" t="n"/>
    </row>
    <row r="15" ht="15" customFormat="1" customHeight="1" s="297" thickBot="1">
      <c r="A15" s="38" t="n"/>
      <c r="B15" s="247" t="n">
        <v>44</v>
      </c>
      <c r="C15" s="247" t="inlineStr">
        <is>
          <t>PTX 44</t>
        </is>
      </c>
      <c r="D15" s="247" t="n">
        <v>-20</v>
      </c>
      <c r="E15" s="385" t="n">
        <v>0</v>
      </c>
      <c r="F15" s="126">
        <f>IF(AND(D15&lt;0,E15=0)=TRUE,0.98*D15,IF(AND(D15=0,E15&gt;0)=TRUE,0,IF(D15=-E15,0.98*D15,IF(AND(D15=-20,E15=100)=TRUE,0.98*D15,IF(AND(D15=-35,E15=300)=TRUE,0.98*D15,IF(AND(D15=-100,E15=160)=TRUE,80,IF(AND(D15=-100,E15=900)=TRUE,80,"x")))))))</f>
        <v/>
      </c>
      <c r="G15" s="82">
        <f>IF(AND(D15&lt;0,E15=0)=TRUE,0.75*D15,IF(AND(D15=0,E15&gt;0)=TRUE,0.25*E15,IF(D15=-E15,0.5*D15,IF(AND(D15=-20,E15=100)=TRUE,0,IF(AND(D15=-35,E15=300)=TRUE,0,IF(AND(D15=-100,E15=160)=TRUE,0,IF(AND(D15=-100,E15=900)=TRUE,0,"x")))))))</f>
        <v/>
      </c>
      <c r="H15" s="82">
        <f>IF(AND(D15&lt;0,E15=0)=TRUE,0.5*D15,IF(AND(D15=0,E15&gt;0)=TRUE,0.5*E15,IF(D15=-E15,0,IF(AND(D15=-20,E15=100)=TRUE,0.33*E15,IF(AND(D15=-35,E15=300)=TRUE,0.33*E15,IF(AND(D15=-100,E15=160)=TRUE,0.33*E15,IF(AND(D15=-100,E15=900)=TRUE,0.33*E15,"x")))))))</f>
        <v/>
      </c>
      <c r="I15" s="82">
        <f>IF(AND(D15&lt;0,E15=0)=TRUE,0.25*D15,IF(AND(D15=0,E15&gt;0)=TRUE,0.75*E15,IF(D15=-E15,0.5*E15,IF(AND(D15=-20,E15=100)=TRUE,0.66*E15,IF(AND(D15=-35,E15=300)=TRUE,0.66*E15,IF(AND(D15=-100,E15=160)=TRUE,0.66*E15,IF(AND(D15=-100,E15=900)=TRUE,0.66*E15,"x")))))))</f>
        <v/>
      </c>
      <c r="J15" s="83">
        <f>IF(AND(D15&lt;0,E15=0)=TRUE,0*D15,IF(AND(D15=0,E15&gt;0)=TRUE,0.98*E15,IF(D15=-E15,0.98*E15,IF(AND(D15=-20,E15=100)=TRUE,0.98*E15,IF(AND(D15=-35,E15=300)=TRUE,0.98*E15,IF(AND(D15=-100,E15=160)=TRUE,0.98*E15,IF(AND(D15=-100,E15=900)=TRUE,0.98*E15,"x")))))))</f>
        <v/>
      </c>
      <c r="K15" s="386" t="inlineStr">
        <is>
          <t>Fail</t>
        </is>
      </c>
      <c r="L15" s="387" t="inlineStr">
        <is>
          <t>A</t>
        </is>
      </c>
      <c r="M15" s="84">
        <f>F15</f>
        <v/>
      </c>
      <c r="N15" s="85">
        <f>G15</f>
        <v/>
      </c>
      <c r="O15" s="86">
        <f>H15</f>
        <v/>
      </c>
      <c r="P15" s="85">
        <f>I15</f>
        <v/>
      </c>
      <c r="Q15" s="87">
        <f>J15</f>
        <v/>
      </c>
      <c r="R15" s="388" t="inlineStr">
        <is>
          <t>kPa</t>
        </is>
      </c>
      <c r="S15" s="389">
        <f>IF(D15&lt;E15,(E15-D15)*0.002,"x")</f>
        <v/>
      </c>
      <c r="T15" s="388" t="n">
        <v>3600032</v>
      </c>
      <c r="U15" s="35" t="n"/>
    </row>
    <row r="16" ht="15" customFormat="1" customHeight="1" s="297" thickBot="1">
      <c r="A16" s="38" t="n"/>
      <c r="B16" s="390" t="n"/>
      <c r="C16" s="390" t="n"/>
      <c r="D16" s="390" t="n"/>
      <c r="E16" s="391" t="n"/>
      <c r="F16" s="392" t="n">
        <v>-19.69</v>
      </c>
      <c r="G16" s="393" t="n">
        <v>-14.93</v>
      </c>
      <c r="H16" s="393" t="n">
        <v>-9.91</v>
      </c>
      <c r="I16" s="393" t="n">
        <v>-4.99</v>
      </c>
      <c r="J16" s="394" t="n">
        <v>0.07000000000000001</v>
      </c>
      <c r="K16" s="390" t="n"/>
      <c r="L16" s="390" t="n"/>
      <c r="M16" s="392" t="n">
        <v>-19.63</v>
      </c>
      <c r="N16" s="393" t="n">
        <v>-15</v>
      </c>
      <c r="O16" s="393" t="n">
        <v>-9.99</v>
      </c>
      <c r="P16" s="393" t="n">
        <v>-5</v>
      </c>
      <c r="Q16" s="394" t="n">
        <v>0</v>
      </c>
      <c r="R16" s="390" t="n"/>
      <c r="S16" s="395" t="n"/>
      <c r="T16" s="390" t="n"/>
      <c r="U16" s="35" t="n"/>
    </row>
    <row r="17" ht="15" customFormat="1" customHeight="1" s="297" thickBot="1">
      <c r="A17" s="38" t="n"/>
      <c r="B17" s="247" t="n">
        <v>45</v>
      </c>
      <c r="C17" s="247" t="inlineStr">
        <is>
          <t>PTX 45</t>
        </is>
      </c>
      <c r="D17" s="247" t="n">
        <v>0</v>
      </c>
      <c r="E17" s="385" t="n">
        <v>600</v>
      </c>
      <c r="F17" s="126">
        <f>IF(AND(D17&lt;0,E17=0)=TRUE,0.98*D17,IF(AND(D17=0,E17&gt;0)=TRUE,0,IF(D17=-E17,0.98*D17,IF(AND(D17=-20,E17=100)=TRUE,0.98*D17,IF(AND(D17=-35,E17=300)=TRUE,0.98*D17,IF(AND(D17=-100,E17=160)=TRUE,80,IF(AND(D17=-100,E17=900)=TRUE,80,"x")))))))</f>
        <v/>
      </c>
      <c r="G17" s="82">
        <f>IF(AND(D17&lt;0,E17=0)=TRUE,0.75*D17,IF(AND(D17=0,E17&gt;0)=TRUE,0.25*E17,IF(D17=-E17,0.5*D17,IF(AND(D17=-20,E17=100)=TRUE,0,IF(AND(D17=-35,E17=300)=TRUE,0,IF(AND(D17=-100,E17=160)=TRUE,0,IF(AND(D17=-100,E17=900)=TRUE,0,"x")))))))</f>
        <v/>
      </c>
      <c r="H17" s="82">
        <f>IF(AND(D17&lt;0,E17=0)=TRUE,0.5*D17,IF(AND(D17=0,E17&gt;0)=TRUE,0.5*E17,IF(D17=-E17,0,IF(AND(D17=-20,E17=100)=TRUE,0.33*E17,IF(AND(D17=-35,E17=300)=TRUE,0.33*E17,IF(AND(D17=-100,E17=160)=TRUE,0.33*E17,IF(AND(D17=-100,E17=900)=TRUE,0.33*E17,"x")))))))</f>
        <v/>
      </c>
      <c r="I17" s="82">
        <f>IF(AND(D17&lt;0,E17=0)=TRUE,0.25*D17,IF(AND(D17=0,E17&gt;0)=TRUE,0.75*E17,IF(D17=-E17,0.5*E17,IF(AND(D17=-20,E17=100)=TRUE,0.66*E17,IF(AND(D17=-35,E17=300)=TRUE,0.66*E17,IF(AND(D17=-100,E17=160)=TRUE,0.66*E17,IF(AND(D17=-100,E17=900)=TRUE,0.66*E17,"x")))))))</f>
        <v/>
      </c>
      <c r="J17" s="83">
        <f>IF(AND(D17&lt;0,E17=0)=TRUE,0*D17,IF(AND(D17=0,E17&gt;0)=TRUE,0.98*E17,IF(D17=-E17,0.98*E17,IF(AND(D17=-20,E17=100)=TRUE,0.98*E17,IF(AND(D17=-35,E17=300)=TRUE,0.98*E17,IF(AND(D17=-100,E17=160)=TRUE,0.98*E17,IF(AND(D17=-100,E17=900)=TRUE,0.98*E17,"x")))))))</f>
        <v/>
      </c>
      <c r="K17" s="386" t="inlineStr">
        <is>
          <t>Pass</t>
        </is>
      </c>
      <c r="L17" s="387" t="inlineStr">
        <is>
          <t>A</t>
        </is>
      </c>
      <c r="M17" s="84">
        <f>F17</f>
        <v/>
      </c>
      <c r="N17" s="85">
        <f>G17</f>
        <v/>
      </c>
      <c r="O17" s="86">
        <f>H17</f>
        <v/>
      </c>
      <c r="P17" s="85">
        <f>I17</f>
        <v/>
      </c>
      <c r="Q17" s="87">
        <f>J17</f>
        <v/>
      </c>
      <c r="R17" s="388" t="inlineStr">
        <is>
          <t>kPa</t>
        </is>
      </c>
      <c r="S17" s="389">
        <f>IF(D17&lt;E17,(E17-D17)*0.002,"x")</f>
        <v/>
      </c>
      <c r="T17" s="388" t="n">
        <v>3430294</v>
      </c>
      <c r="U17" s="35" t="n"/>
    </row>
    <row r="18" ht="15" customFormat="1" customHeight="1" s="297" thickBot="1">
      <c r="A18" s="38" t="n"/>
      <c r="B18" s="390" t="n"/>
      <c r="C18" s="390" t="n"/>
      <c r="D18" s="390" t="n"/>
      <c r="E18" s="391" t="n"/>
      <c r="F18" s="392" t="n">
        <v>0</v>
      </c>
      <c r="G18" s="393" t="n">
        <v>149.94</v>
      </c>
      <c r="H18" s="393" t="n">
        <v>300.14</v>
      </c>
      <c r="I18" s="393" t="n">
        <v>450.05</v>
      </c>
      <c r="J18" s="394" t="n">
        <v>588.1</v>
      </c>
      <c r="K18" s="390" t="n"/>
      <c r="L18" s="390" t="n"/>
      <c r="M18" s="392" t="n">
        <v>0</v>
      </c>
      <c r="N18" s="393" t="n">
        <v>149.92</v>
      </c>
      <c r="O18" s="393" t="n">
        <v>299.92</v>
      </c>
      <c r="P18" s="393" t="n">
        <v>449.92</v>
      </c>
      <c r="Q18" s="394" t="n">
        <v>588</v>
      </c>
      <c r="R18" s="390" t="n"/>
      <c r="S18" s="395" t="n"/>
      <c r="T18" s="390" t="n"/>
      <c r="U18" s="35" t="n"/>
    </row>
    <row r="19" ht="15" customFormat="1" customHeight="1" s="297" thickBot="1">
      <c r="A19" s="38" t="n"/>
      <c r="B19" s="247" t="n">
        <v>46</v>
      </c>
      <c r="C19" s="247" t="inlineStr">
        <is>
          <t>PTX 46</t>
        </is>
      </c>
      <c r="D19" s="247" t="n">
        <v>0</v>
      </c>
      <c r="E19" s="385" t="n">
        <v>600</v>
      </c>
      <c r="F19" s="126">
        <f>IF(AND(D19&lt;0,E19=0)=TRUE,0.98*D19,IF(AND(D19=0,E19&gt;0)=TRUE,0,IF(D19=-E19,0.98*D19,IF(AND(D19=-20,E19=100)=TRUE,0.98*D19,IF(AND(D19=-35,E19=300)=TRUE,0.98*D19,IF(AND(D19=-100,E19=160)=TRUE,80,IF(AND(D19=-100,E19=900)=TRUE,80,"x")))))))</f>
        <v/>
      </c>
      <c r="G19" s="82">
        <f>IF(AND(D19&lt;0,E19=0)=TRUE,0.75*D19,IF(AND(D19=0,E19&gt;0)=TRUE,0.25*E19,IF(D19=-E19,0.5*D19,IF(AND(D19=-20,E19=100)=TRUE,0,IF(AND(D19=-35,E19=300)=TRUE,0,IF(AND(D19=-100,E19=160)=TRUE,0,IF(AND(D19=-100,E19=900)=TRUE,0,"x")))))))</f>
        <v/>
      </c>
      <c r="H19" s="82">
        <f>IF(AND(D19&lt;0,E19=0)=TRUE,0.5*D19,IF(AND(D19=0,E19&gt;0)=TRUE,0.5*E19,IF(D19=-E19,0,IF(AND(D19=-20,E19=100)=TRUE,0.33*E19,IF(AND(D19=-35,E19=300)=TRUE,0.33*E19,IF(AND(D19=-100,E19=160)=TRUE,0.33*E19,IF(AND(D19=-100,E19=900)=TRUE,0.33*E19,"x")))))))</f>
        <v/>
      </c>
      <c r="I19" s="82">
        <f>IF(AND(D19&lt;0,E19=0)=TRUE,0.25*D19,IF(AND(D19=0,E19&gt;0)=TRUE,0.75*E19,IF(D19=-E19,0.5*E19,IF(AND(D19=-20,E19=100)=TRUE,0.66*E19,IF(AND(D19=-35,E19=300)=TRUE,0.66*E19,IF(AND(D19=-100,E19=160)=TRUE,0.66*E19,IF(AND(D19=-100,E19=900)=TRUE,0.66*E19,"x")))))))</f>
        <v/>
      </c>
      <c r="J19" s="83">
        <f>IF(AND(D19&lt;0,E19=0)=TRUE,0*D19,IF(AND(D19=0,E19&gt;0)=TRUE,0.98*E19,IF(D19=-E19,0.98*E19,IF(AND(D19=-20,E19=100)=TRUE,0.98*E19,IF(AND(D19=-35,E19=300)=TRUE,0.98*E19,IF(AND(D19=-100,E19=160)=TRUE,0.98*E19,IF(AND(D19=-100,E19=900)=TRUE,0.98*E19,"x")))))))</f>
        <v/>
      </c>
      <c r="K19" s="386" t="inlineStr">
        <is>
          <t>Fail</t>
        </is>
      </c>
      <c r="L19" s="387" t="inlineStr">
        <is>
          <t>A</t>
        </is>
      </c>
      <c r="M19" s="84">
        <f>F19</f>
        <v/>
      </c>
      <c r="N19" s="85">
        <f>G19</f>
        <v/>
      </c>
      <c r="O19" s="86">
        <f>H19</f>
        <v/>
      </c>
      <c r="P19" s="85">
        <f>I19</f>
        <v/>
      </c>
      <c r="Q19" s="87">
        <f>J19</f>
        <v/>
      </c>
      <c r="R19" s="388" t="inlineStr">
        <is>
          <t>kPa</t>
        </is>
      </c>
      <c r="S19" s="389">
        <f>IF(D19&lt;E19,(E19-D19)*0.002,"x")</f>
        <v/>
      </c>
      <c r="T19" s="388" t="inlineStr">
        <is>
          <t>Y02402/09</t>
        </is>
      </c>
      <c r="U19" s="35" t="n"/>
    </row>
    <row r="20" ht="15" customFormat="1" customHeight="1" s="297" thickBot="1">
      <c r="A20" s="38" t="n"/>
      <c r="B20" s="390" t="n"/>
      <c r="C20" s="390" t="n"/>
      <c r="D20" s="390" t="n"/>
      <c r="E20" s="391" t="n"/>
      <c r="F20" s="392" t="n">
        <v>0</v>
      </c>
      <c r="G20" s="393" t="n">
        <v>148.11</v>
      </c>
      <c r="H20" s="393" t="n">
        <v>298.91</v>
      </c>
      <c r="I20" s="393" t="n">
        <v>446.55</v>
      </c>
      <c r="J20" s="394" t="n">
        <v>577.55</v>
      </c>
      <c r="K20" s="390" t="n"/>
      <c r="L20" s="390" t="n"/>
      <c r="M20" s="392" t="n">
        <v>0</v>
      </c>
      <c r="N20" s="393" t="n">
        <v>150.03</v>
      </c>
      <c r="O20" s="393" t="n">
        <v>299.96</v>
      </c>
      <c r="P20" s="393" t="n">
        <v>450</v>
      </c>
      <c r="Q20" s="394" t="n">
        <v>587.92</v>
      </c>
      <c r="R20" s="390" t="n"/>
      <c r="S20" s="395" t="n"/>
      <c r="T20" s="390" t="n"/>
      <c r="U20" s="35" t="n"/>
    </row>
    <row r="21" ht="15" customFormat="1" customHeight="1" s="297" thickBot="1">
      <c r="A21" s="38" t="n"/>
      <c r="B21" s="247" t="n">
        <v>47</v>
      </c>
      <c r="C21" s="247" t="inlineStr">
        <is>
          <t>PTX 47</t>
        </is>
      </c>
      <c r="D21" s="247" t="n">
        <v>0</v>
      </c>
      <c r="E21" s="385" t="n">
        <v>600</v>
      </c>
      <c r="F21" s="126">
        <f>IF(AND(D21&lt;0,E21=0)=TRUE,0.98*D21,IF(AND(D21=0,E21&gt;0)=TRUE,0,IF(D21=-E21,0.98*D21,IF(AND(D21=-20,E21=100)=TRUE,0.98*D21,IF(AND(D21=-35,E21=300)=TRUE,0.98*D21,IF(AND(D21=-100,E21=160)=TRUE,80,IF(AND(D21=-100,E21=900)=TRUE,80,"x")))))))</f>
        <v/>
      </c>
      <c r="G21" s="82">
        <f>IF(AND(D21&lt;0,E21=0)=TRUE,0.75*D21,IF(AND(D21=0,E21&gt;0)=TRUE,0.25*E21,IF(D21=-E21,0.5*D21,IF(AND(D21=-20,E21=100)=TRUE,0,IF(AND(D21=-35,E21=300)=TRUE,0,IF(AND(D21=-100,E21=160)=TRUE,0,IF(AND(D21=-100,E21=900)=TRUE,0,"x")))))))</f>
        <v/>
      </c>
      <c r="H21" s="82">
        <f>IF(AND(D21&lt;0,E21=0)=TRUE,0.5*D21,IF(AND(D21=0,E21&gt;0)=TRUE,0.5*E21,IF(D21=-E21,0,IF(AND(D21=-20,E21=100)=TRUE,0.33*E21,IF(AND(D21=-35,E21=300)=TRUE,0.33*E21,IF(AND(D21=-100,E21=160)=TRUE,0.33*E21,IF(AND(D21=-100,E21=900)=TRUE,0.33*E21,"x")))))))</f>
        <v/>
      </c>
      <c r="I21" s="82">
        <f>IF(AND(D21&lt;0,E21=0)=TRUE,0.25*D21,IF(AND(D21=0,E21&gt;0)=TRUE,0.75*E21,IF(D21=-E21,0.5*E21,IF(AND(D21=-20,E21=100)=TRUE,0.66*E21,IF(AND(D21=-35,E21=300)=TRUE,0.66*E21,IF(AND(D21=-100,E21=160)=TRUE,0.66*E21,IF(AND(D21=-100,E21=900)=TRUE,0.66*E21,"x")))))))</f>
        <v/>
      </c>
      <c r="J21" s="83">
        <f>IF(AND(D21&lt;0,E21=0)=TRUE,0*D21,IF(AND(D21=0,E21&gt;0)=TRUE,0.98*E21,IF(D21=-E21,0.98*E21,IF(AND(D21=-20,E21=100)=TRUE,0.98*E21,IF(AND(D21=-35,E21=300)=TRUE,0.98*E21,IF(AND(D21=-100,E21=160)=TRUE,0.98*E21,IF(AND(D21=-100,E21=900)=TRUE,0.98*E21,"x")))))))</f>
        <v/>
      </c>
      <c r="K21" s="386" t="inlineStr">
        <is>
          <t>Pass</t>
        </is>
      </c>
      <c r="L21" s="387" t="inlineStr">
        <is>
          <t>A</t>
        </is>
      </c>
      <c r="M21" s="84">
        <f>F21</f>
        <v/>
      </c>
      <c r="N21" s="85">
        <f>G21</f>
        <v/>
      </c>
      <c r="O21" s="86">
        <f>H21</f>
        <v/>
      </c>
      <c r="P21" s="85">
        <f>I21</f>
        <v/>
      </c>
      <c r="Q21" s="87">
        <f>J21</f>
        <v/>
      </c>
      <c r="R21" s="388" t="inlineStr">
        <is>
          <t>kPa</t>
        </is>
      </c>
      <c r="S21" s="389">
        <f>IF(D21&lt;E21,(E21-D21)*0.002,"x")</f>
        <v/>
      </c>
      <c r="T21" s="388" t="inlineStr">
        <is>
          <t>Y02567/01</t>
        </is>
      </c>
      <c r="U21" s="35" t="n"/>
    </row>
    <row r="22" ht="15" customFormat="1" customHeight="1" s="297" thickBot="1">
      <c r="A22" s="38" t="n"/>
      <c r="B22" s="390" t="n"/>
      <c r="C22" s="390" t="n"/>
      <c r="D22" s="390" t="n"/>
      <c r="E22" s="391" t="n"/>
      <c r="F22" s="392" t="n">
        <v>0</v>
      </c>
      <c r="G22" s="393" t="n">
        <v>148.97</v>
      </c>
      <c r="H22" s="393" t="n">
        <v>299.98</v>
      </c>
      <c r="I22" s="393" t="n">
        <v>450.02</v>
      </c>
      <c r="J22" s="394" t="n">
        <v>588.13</v>
      </c>
      <c r="K22" s="390" t="n"/>
      <c r="L22" s="390" t="n"/>
      <c r="M22" s="392" t="n">
        <v>0</v>
      </c>
      <c r="N22" s="393" t="n">
        <v>150</v>
      </c>
      <c r="O22" s="393" t="n">
        <v>299.96</v>
      </c>
      <c r="P22" s="393" t="n">
        <v>450</v>
      </c>
      <c r="Q22" s="394" t="n">
        <v>588</v>
      </c>
      <c r="R22" s="390" t="n"/>
      <c r="S22" s="395" t="n"/>
      <c r="T22" s="390" t="n"/>
      <c r="U22" s="35" t="n"/>
    </row>
    <row r="23" ht="15" customFormat="1" customHeight="1" s="297" thickBot="1">
      <c r="A23" s="38" t="n"/>
      <c r="B23" s="247" t="n">
        <v>48</v>
      </c>
      <c r="C23" s="247" t="inlineStr">
        <is>
          <t>PTX 48</t>
        </is>
      </c>
      <c r="D23" s="247" t="n">
        <v>0</v>
      </c>
      <c r="E23" s="385" t="n">
        <v>2500</v>
      </c>
      <c r="F23" s="126">
        <f>IF(AND(D23&lt;0,E23=0)=TRUE,0.98*D23,IF(AND(D23=0,E23&gt;0)=TRUE,0,IF(D23=-E23,0.98*D23,IF(AND(D23=-20,E23=100)=TRUE,0.98*D23,IF(AND(D23=-35,E23=300)=TRUE,0.98*D23,IF(AND(D23=-100,E23=160)=TRUE,80,IF(AND(D23=-100,E23=900)=TRUE,80,"x")))))))</f>
        <v/>
      </c>
      <c r="G23" s="82">
        <f>IF(AND(D23&lt;0,E23=0)=TRUE,0.75*D23,IF(AND(D23=0,E23&gt;0)=TRUE,0.25*E23,IF(D23=-E23,0.5*D23,IF(AND(D23=-20,E23=100)=TRUE,0,IF(AND(D23=-35,E23=300)=TRUE,0,IF(AND(D23=-100,E23=160)=TRUE,0,IF(AND(D23=-100,E23=900)=TRUE,0,"x")))))))</f>
        <v/>
      </c>
      <c r="H23" s="82">
        <f>IF(AND(D23&lt;0,E23=0)=TRUE,0.5*D23,IF(AND(D23=0,E23&gt;0)=TRUE,0.5*E23,IF(D23=-E23,0,IF(AND(D23=-20,E23=100)=TRUE,0.33*E23,IF(AND(D23=-35,E23=300)=TRUE,0.33*E23,IF(AND(D23=-100,E23=160)=TRUE,0.33*E23,IF(AND(D23=-100,E23=900)=TRUE,0.33*E23,"x")))))))</f>
        <v/>
      </c>
      <c r="I23" s="82">
        <f>IF(AND(D23&lt;0,E23=0)=TRUE,0.25*D23,IF(AND(D23=0,E23&gt;0)=TRUE,0.75*E23,IF(D23=-E23,0.5*E23,IF(AND(D23=-20,E23=100)=TRUE,0.66*E23,IF(AND(D23=-35,E23=300)=TRUE,0.66*E23,IF(AND(D23=-100,E23=160)=TRUE,0.66*E23,IF(AND(D23=-100,E23=900)=TRUE,0.66*E23,"x")))))))</f>
        <v/>
      </c>
      <c r="J23" s="83">
        <f>IF(AND(D23&lt;0,E23=0)=TRUE,0*D23,IF(AND(D23=0,E23&gt;0)=TRUE,0.98*E23,IF(D23=-E23,0.98*E23,IF(AND(D23=-20,E23=100)=TRUE,0.98*E23,IF(AND(D23=-35,E23=300)=TRUE,0.98*E23,IF(AND(D23=-100,E23=160)=TRUE,0.98*E23,IF(AND(D23=-100,E23=900)=TRUE,0.98*E23,"x")))))))</f>
        <v/>
      </c>
      <c r="K23" s="386" t="inlineStr">
        <is>
          <t>Fail</t>
        </is>
      </c>
      <c r="L23" s="387" t="inlineStr">
        <is>
          <t>A</t>
        </is>
      </c>
      <c r="M23" s="84">
        <f>F23</f>
        <v/>
      </c>
      <c r="N23" s="85">
        <f>G23</f>
        <v/>
      </c>
      <c r="O23" s="86">
        <f>H23</f>
        <v/>
      </c>
      <c r="P23" s="85">
        <f>I23</f>
        <v/>
      </c>
      <c r="Q23" s="87">
        <f>J23</f>
        <v/>
      </c>
      <c r="R23" s="388" t="inlineStr">
        <is>
          <t>kPa</t>
        </is>
      </c>
      <c r="S23" s="389">
        <f>IF(D23&lt;E23,(E23-D23)*0.002,"x")</f>
        <v/>
      </c>
      <c r="T23" s="388" t="n">
        <v>5474460</v>
      </c>
      <c r="U23" s="35" t="n"/>
    </row>
    <row r="24" ht="15" customFormat="1" customHeight="1" s="297" thickBot="1">
      <c r="A24" s="38" t="n"/>
      <c r="B24" s="390" t="n"/>
      <c r="C24" s="390" t="n"/>
      <c r="D24" s="390" t="n"/>
      <c r="E24" s="391" t="n"/>
      <c r="F24" s="392" t="n">
        <v>0</v>
      </c>
      <c r="G24" s="393" t="n">
        <v>638</v>
      </c>
      <c r="H24" s="393" t="n">
        <v>1236.7</v>
      </c>
      <c r="I24" s="393" t="n">
        <v>1864.8</v>
      </c>
      <c r="J24" s="394" t="n">
        <v>2431.5</v>
      </c>
      <c r="K24" s="390" t="n"/>
      <c r="L24" s="390" t="n"/>
      <c r="M24" s="392" t="n">
        <v>0</v>
      </c>
      <c r="N24" s="392" t="n">
        <v>624.83</v>
      </c>
      <c r="O24" s="392" t="n">
        <v>1249.84</v>
      </c>
      <c r="P24" s="392" t="n">
        <v>1875</v>
      </c>
      <c r="Q24" s="392" t="n">
        <v>2449.84</v>
      </c>
      <c r="R24" s="390" t="n"/>
      <c r="S24" s="395" t="n"/>
      <c r="T24" s="390" t="n"/>
      <c r="U24" s="35" t="n"/>
    </row>
    <row r="25" ht="15" customFormat="1" customHeight="1" s="297" thickBot="1">
      <c r="A25" s="38" t="n"/>
      <c r="B25" s="247" t="n">
        <v>49</v>
      </c>
      <c r="C25" s="247" t="inlineStr">
        <is>
          <t>PTX 49</t>
        </is>
      </c>
      <c r="D25" s="247" t="n">
        <v>-100</v>
      </c>
      <c r="E25" s="385" t="n">
        <v>160</v>
      </c>
      <c r="F25" s="126" t="n">
        <v>-80</v>
      </c>
      <c r="G25" s="82">
        <f>IF(AND(D25&lt;0,E25=0)=TRUE,0.75*D25,IF(AND(D25=0,E25&gt;0)=TRUE,0.25*E25,IF(D25=-E25,0.5*D25,IF(AND(D25=-20,E25=100)=TRUE,0,IF(AND(D25=-35,E25=300)=TRUE,0,IF(AND(D25=-100,E25=160)=TRUE,0,IF(AND(D25=-100,E25=900)=TRUE,0,"x")))))))</f>
        <v/>
      </c>
      <c r="H25" s="82">
        <f>IF(AND(D25&lt;0,E25=0)=TRUE,0.5*D25,IF(AND(D25=0,E25&gt;0)=TRUE,0.5*E25,IF(D25=-E25,0,IF(AND(D25=-20,E25=100)=TRUE,0.33*E25,IF(AND(D25=-35,E25=300)=TRUE,0.33*E25,IF(AND(D25=-100,E25=160)=TRUE,0.33*E25,IF(AND(D25=-100,E25=900)=TRUE,0.33*E25,"x")))))))</f>
        <v/>
      </c>
      <c r="I25" s="82">
        <f>IF(AND(D25&lt;0,E25=0)=TRUE,0.25*D25,IF(AND(D25=0,E25&gt;0)=TRUE,0.75*E25,IF(D25=-E25,0.5*E25,IF(AND(D25=-20,E25=100)=TRUE,0.66*E25,IF(AND(D25=-35,E25=300)=TRUE,0.66*E25,IF(AND(D25=-100,E25=160)=TRUE,0.66*E25,IF(AND(D25=-100,E25=900)=TRUE,0.66*E25,"x")))))))</f>
        <v/>
      </c>
      <c r="J25" s="83">
        <f>IF(AND(D25&lt;0,E25=0)=TRUE,0*D25,IF(AND(D25=0,E25&gt;0)=TRUE,0.98*E25,IF(D25=-E25,0.98*E25,IF(AND(D25=-20,E25=100)=TRUE,0.98*E25,IF(AND(D25=-35,E25=300)=TRUE,0.98*E25,IF(AND(D25=-100,E25=160)=TRUE,0.98*E25,IF(AND(D25=-100,E25=900)=TRUE,0.98*E25,"x")))))))</f>
        <v/>
      </c>
      <c r="K25" s="386" t="inlineStr">
        <is>
          <t>Pass</t>
        </is>
      </c>
      <c r="L25" s="387" t="inlineStr">
        <is>
          <t>A</t>
        </is>
      </c>
      <c r="M25" s="84">
        <f>F25</f>
        <v/>
      </c>
      <c r="N25" s="85">
        <f>G25</f>
        <v/>
      </c>
      <c r="O25" s="86">
        <f>H25</f>
        <v/>
      </c>
      <c r="P25" s="85">
        <f>I25</f>
        <v/>
      </c>
      <c r="Q25" s="87">
        <f>J25</f>
        <v/>
      </c>
      <c r="R25" s="388" t="inlineStr">
        <is>
          <t>kPa</t>
        </is>
      </c>
      <c r="S25" s="389">
        <f>IF(D25&lt;E25,(E25-D25)*0.002,"x")</f>
        <v/>
      </c>
      <c r="T25" s="388" t="n">
        <v>5614939</v>
      </c>
      <c r="U25" s="35" t="n"/>
    </row>
    <row r="26" ht="15" customFormat="1" customHeight="1" s="297" thickBot="1">
      <c r="A26" s="38" t="n"/>
      <c r="B26" s="390" t="n"/>
      <c r="C26" s="390" t="n"/>
      <c r="D26" s="390" t="n"/>
      <c r="E26" s="391" t="n"/>
      <c r="F26" s="392" t="n">
        <v>-80</v>
      </c>
      <c r="G26" s="393" t="n">
        <v>0.01</v>
      </c>
      <c r="H26" s="393" t="n">
        <v>52.89</v>
      </c>
      <c r="I26" s="393" t="n">
        <v>105.7</v>
      </c>
      <c r="J26" s="394" t="n">
        <v>156.9</v>
      </c>
      <c r="K26" s="390" t="n"/>
      <c r="L26" s="390" t="n"/>
      <c r="M26" s="392" t="n">
        <v>-80</v>
      </c>
      <c r="N26" s="392" t="n">
        <v>0</v>
      </c>
      <c r="O26" s="392" t="n">
        <v>52.76</v>
      </c>
      <c r="P26" s="392" t="n">
        <v>105.58</v>
      </c>
      <c r="Q26" s="392" t="n">
        <v>156.8</v>
      </c>
      <c r="R26" s="390" t="n"/>
      <c r="S26" s="395" t="n"/>
      <c r="T26" s="390" t="n"/>
      <c r="U26" s="35" t="n"/>
    </row>
    <row r="27" ht="15" customFormat="1" customHeight="1" s="297" thickBot="1">
      <c r="A27" s="38" t="n"/>
      <c r="B27" s="247" t="n">
        <v>50</v>
      </c>
      <c r="C27" s="247" t="inlineStr">
        <is>
          <t>PTX 50</t>
        </is>
      </c>
      <c r="D27" s="247" t="n">
        <v>0</v>
      </c>
      <c r="E27" s="385" t="n">
        <v>600</v>
      </c>
      <c r="F27" s="126" t="n">
        <v>0</v>
      </c>
      <c r="G27" s="82">
        <f>IF(AND(D27&lt;0,E27=0)=TRUE,0.75*D27,IF(AND(D27=0,E27&gt;0)=TRUE,0.25*E27,IF(D27=-E27,0.5*D27,IF(AND(D27=-20,E27=100)=TRUE,0,IF(AND(D27=-35,E27=300)=TRUE,0,IF(AND(D27=-100,E27=160)=TRUE,0,IF(AND(D27=-100,E27=900)=TRUE,0,"x")))))))</f>
        <v/>
      </c>
      <c r="H27" s="82">
        <f>IF(AND(D27&lt;0,E27=0)=TRUE,0.5*D27,IF(AND(D27=0,E27&gt;0)=TRUE,0.5*E27,IF(D27=-E27,0,IF(AND(D27=-20,E27=100)=TRUE,0.33*E27,IF(AND(D27=-35,E27=300)=TRUE,0.33*E27,IF(AND(D27=-100,E27=160)=TRUE,0.33*E27,IF(AND(D27=-100,E27=900)=TRUE,0.33*E27,"x")))))))</f>
        <v/>
      </c>
      <c r="I27" s="82">
        <f>IF(AND(D27&lt;0,E27=0)=TRUE,0.25*D27,IF(AND(D27=0,E27&gt;0)=TRUE,0.75*E27,IF(D27=-E27,0.5*E27,IF(AND(D27=-20,E27=100)=TRUE,0.66*E27,IF(AND(D27=-35,E27=300)=TRUE,0.66*E27,IF(AND(D27=-100,E27=160)=TRUE,0.66*E27,IF(AND(D27=-100,E27=900)=TRUE,0.66*E27,"x")))))))</f>
        <v/>
      </c>
      <c r="J27" s="83">
        <f>IF(AND(D27&lt;0,E27=0)=TRUE,0*D27,IF(AND(D27=0,E27&gt;0)=TRUE,0.98*E27,IF(D27=-E27,0.98*E27,IF(AND(D27=-20,E27=100)=TRUE,0.98*E27,IF(AND(D27=-35,E27=300)=TRUE,0.98*E27,IF(AND(D27=-100,E27=160)=TRUE,0.98*E27,IF(AND(D27=-100,E27=900)=TRUE,0.98*E27,"x")))))))</f>
        <v/>
      </c>
      <c r="K27" s="386" t="inlineStr">
        <is>
          <t>Pass</t>
        </is>
      </c>
      <c r="L27" s="387" t="inlineStr">
        <is>
          <t>A</t>
        </is>
      </c>
      <c r="M27" s="84">
        <f>F27</f>
        <v/>
      </c>
      <c r="N27" s="85">
        <f>G27</f>
        <v/>
      </c>
      <c r="O27" s="86">
        <f>H27</f>
        <v/>
      </c>
      <c r="P27" s="85">
        <f>I27</f>
        <v/>
      </c>
      <c r="Q27" s="87">
        <f>J27</f>
        <v/>
      </c>
      <c r="R27" s="388" t="inlineStr">
        <is>
          <t>kPa</t>
        </is>
      </c>
      <c r="S27" s="389">
        <f>IF(D27&lt;E27,(E27-D27)*0.002,"x")</f>
        <v/>
      </c>
      <c r="T27" s="388" t="inlineStr">
        <is>
          <t>Y02025/2</t>
        </is>
      </c>
      <c r="U27" s="35" t="n"/>
    </row>
    <row r="28" ht="15" customFormat="1" customHeight="1" s="297" thickBot="1">
      <c r="A28" s="38" t="n"/>
      <c r="B28" s="390" t="n"/>
      <c r="C28" s="390" t="n"/>
      <c r="D28" s="390" t="n"/>
      <c r="E28" s="391" t="n"/>
      <c r="F28" s="392" t="n">
        <v>0</v>
      </c>
      <c r="G28" s="393" t="n">
        <v>149.65</v>
      </c>
      <c r="H28" s="393" t="n">
        <v>300.03</v>
      </c>
      <c r="I28" s="393" t="n">
        <v>450.4</v>
      </c>
      <c r="J28" s="394" t="n">
        <v>588.8099999999999</v>
      </c>
      <c r="K28" s="390" t="n"/>
      <c r="L28" s="390" t="n"/>
      <c r="M28" s="392" t="n">
        <v>0</v>
      </c>
      <c r="N28" s="392" t="n">
        <v>150</v>
      </c>
      <c r="O28" s="392" t="n">
        <v>300</v>
      </c>
      <c r="P28" s="392" t="n">
        <v>450</v>
      </c>
      <c r="Q28" s="392" t="n">
        <v>588.11</v>
      </c>
      <c r="R28" s="390" t="n"/>
      <c r="S28" s="395" t="n"/>
      <c r="T28" s="390" t="n"/>
      <c r="U28" s="35" t="n"/>
    </row>
    <row r="29" ht="15" customFormat="1" customHeight="1" s="297" thickBot="1">
      <c r="A29" s="38" t="n"/>
      <c r="B29" s="247" t="n">
        <v>51</v>
      </c>
      <c r="C29" s="247" t="inlineStr">
        <is>
          <t>PTX 51</t>
        </is>
      </c>
      <c r="D29" s="247" t="n">
        <v>0</v>
      </c>
      <c r="E29" s="385" t="n">
        <v>0</v>
      </c>
      <c r="F29" s="126">
        <f>IF(AND(D29&lt;0,E29=0)=TRUE,0.98*D29,IF(AND(D29=0,E29&gt;0)=TRUE,0,IF(D29=-E29,0.98*D29,IF(AND(D29=-20,E29=100)=TRUE,0.98*D29,IF(AND(D29=-35,E29=300)=TRUE,0.98*D29,IF(AND(D29=-100,E29=160)=TRUE,80,IF(AND(D29=-100,E29=900)=TRUE,80,"x")))))))</f>
        <v/>
      </c>
      <c r="G29" s="82">
        <f>IF(AND(D29&lt;0,E29=0)=TRUE,0.75*D29,IF(AND(D29=0,E29&gt;0)=TRUE,0.25*E29,IF(D29=-E29,0.5*D29,IF(AND(D29=-20,E29=100)=TRUE,0,IF(AND(D29=-35,E29=300)=TRUE,0,IF(AND(D29=-100,E29=160)=TRUE,0,IF(AND(D29=-100,E29=900)=TRUE,0,"x")))))))</f>
        <v/>
      </c>
      <c r="H29" s="82">
        <f>IF(AND(D29&lt;0,E29=0)=TRUE,0.5*D29,IF(AND(D29=0,E29&gt;0)=TRUE,0.5*E29,IF(D29=-E29,0,IF(AND(D29=-20,E29=100)=TRUE,0.33*E29,IF(AND(D29=-35,E29=300)=TRUE,0.33*E29,IF(AND(D29=-100,E29=160)=TRUE,0.33*E29,IF(AND(D29=-100,E29=900)=TRUE,0.33*E29,"x")))))))</f>
        <v/>
      </c>
      <c r="I29" s="82">
        <f>IF(AND(D29&lt;0,E29=0)=TRUE,0.25*D29,IF(AND(D29=0,E29&gt;0)=TRUE,0.75*E29,IF(D29=-E29,0.5*E29,IF(AND(D29=-20,E29=100)=TRUE,0.66*E29,IF(AND(D29=-35,E29=300)=TRUE,0.66*E29,IF(AND(D29=-100,E29=160)=TRUE,0.66*E29,IF(AND(D29=-100,E29=900)=TRUE,0.66*E29,"x")))))))</f>
        <v/>
      </c>
      <c r="J29" s="83">
        <f>IF(AND(D29&lt;0,E29=0)=TRUE,0*D29,IF(AND(D29=0,E29&gt;0)=TRUE,0.98*E29,IF(D29=-E29,0.98*E29,IF(AND(D29=-20,E29=100)=TRUE,0.98*E29,IF(AND(D29=-35,E29=300)=TRUE,0.98*E29,IF(AND(D29=-100,E29=160)=TRUE,0.98*E29,IF(AND(D29=-100,E29=900)=TRUE,0.98*E29,"x")))))))</f>
        <v/>
      </c>
      <c r="K29" s="386" t="inlineStr">
        <is>
          <t>Pass</t>
        </is>
      </c>
      <c r="L29" s="387" t="inlineStr">
        <is>
          <t>A</t>
        </is>
      </c>
      <c r="M29" s="84">
        <f>F29</f>
        <v/>
      </c>
      <c r="N29" s="85">
        <f>G29</f>
        <v/>
      </c>
      <c r="O29" s="86">
        <f>H29</f>
        <v/>
      </c>
      <c r="P29" s="85">
        <f>I29</f>
        <v/>
      </c>
      <c r="Q29" s="87">
        <f>J29</f>
        <v/>
      </c>
      <c r="R29" s="388" t="inlineStr">
        <is>
          <t>kPa</t>
        </is>
      </c>
      <c r="S29" s="389">
        <f>IF(D29&lt;E29,(E29-D29)*0.002,"x")</f>
        <v/>
      </c>
      <c r="T29" s="388" t="n"/>
      <c r="U29" s="35" t="n"/>
    </row>
    <row r="30" ht="15" customFormat="1" customHeight="1" s="297" thickBot="1">
      <c r="A30" s="38" t="n"/>
      <c r="B30" s="390" t="n"/>
      <c r="C30" s="390" t="n"/>
      <c r="D30" s="390" t="n"/>
      <c r="E30" s="391" t="n"/>
      <c r="F30" s="392" t="n"/>
      <c r="G30" s="393" t="n"/>
      <c r="H30" s="393" t="n"/>
      <c r="I30" s="393" t="n"/>
      <c r="J30" s="394" t="n"/>
      <c r="K30" s="390" t="n"/>
      <c r="L30" s="390" t="n"/>
      <c r="M30" s="392" t="n"/>
      <c r="N30" s="393" t="n"/>
      <c r="O30" s="393" t="n"/>
      <c r="P30" s="393" t="n"/>
      <c r="Q30" s="394" t="n"/>
      <c r="R30" s="390" t="n"/>
      <c r="S30" s="395" t="n"/>
      <c r="T30" s="390" t="n"/>
      <c r="U30" s="35" t="n"/>
    </row>
    <row r="31" ht="15" customFormat="1" customHeight="1" s="297" thickBot="1">
      <c r="A31" s="38" t="n"/>
      <c r="B31" s="247" t="n">
        <v>52</v>
      </c>
      <c r="C31" s="247" t="inlineStr">
        <is>
          <t>PTX 52</t>
        </is>
      </c>
      <c r="D31" s="247" t="n">
        <v>-35</v>
      </c>
      <c r="E31" s="385" t="n">
        <v>35</v>
      </c>
      <c r="F31" s="126">
        <f>IF(AND(D31&lt;0,E31=0)=TRUE,0.98*D31,IF(AND(D31=0,E31&gt;0)=TRUE,0,IF(D31=-E31,0.98*D31,IF(AND(D31=-20,E31=100)=TRUE,0.98*D31,IF(AND(D31=-35,E31=300)=TRUE,0.98*D31,IF(AND(D31=-100,E31=160)=TRUE,80,IF(AND(D31=-100,E31=900)=TRUE,80,"x")))))))</f>
        <v/>
      </c>
      <c r="G31" s="82">
        <f>IF(AND(D31&lt;0,E31=0)=TRUE,0.75*D31,IF(AND(D31=0,E31&gt;0)=TRUE,0.25*E31,IF(D31=-E31,0.5*D31,IF(AND(D31=-20,E31=100)=TRUE,0,IF(AND(D31=-35,E31=300)=TRUE,0,IF(AND(D31=-100,E31=160)=TRUE,0,IF(AND(D31=-100,E31=900)=TRUE,0,"x")))))))</f>
        <v/>
      </c>
      <c r="H31" s="82">
        <f>IF(AND(D31&lt;0,E31=0)=TRUE,0.5*D31,IF(AND(D31=0,E31&gt;0)=TRUE,0.5*E31,IF(D31=-E31,0,IF(AND(D31=-20,E31=100)=TRUE,0.33*E31,IF(AND(D31=-35,E31=300)=TRUE,0.33*E31,IF(AND(D31=-100,E31=160)=TRUE,0.33*E31,IF(AND(D31=-100,E31=900)=TRUE,0.33*E31,"x")))))))</f>
        <v/>
      </c>
      <c r="I31" s="82">
        <f>IF(AND(D31&lt;0,E31=0)=TRUE,0.25*D31,IF(AND(D31=0,E31&gt;0)=TRUE,0.75*E31,IF(D31=-E31,0.5*E31,IF(AND(D31=-20,E31=100)=TRUE,0.66*E31,IF(AND(D31=-35,E31=300)=TRUE,0.66*E31,IF(AND(D31=-100,E31=160)=TRUE,0.66*E31,IF(AND(D31=-100,E31=900)=TRUE,0.66*E31,"x")))))))</f>
        <v/>
      </c>
      <c r="J31" s="83">
        <f>IF(AND(D31&lt;0,E31=0)=TRUE,0*D31,IF(AND(D31=0,E31&gt;0)=TRUE,0.98*E31,IF(D31=-E31,0.98*E31,IF(AND(D31=-20,E31=100)=TRUE,0.98*E31,IF(AND(D31=-35,E31=300)=TRUE,0.98*E31,IF(AND(D31=-100,E31=160)=TRUE,0.98*E31,IF(AND(D31=-100,E31=900)=TRUE,0.98*E31,"x")))))))</f>
        <v/>
      </c>
      <c r="K31" s="386" t="inlineStr">
        <is>
          <t>Fail</t>
        </is>
      </c>
      <c r="L31" s="387" t="inlineStr">
        <is>
          <t>A</t>
        </is>
      </c>
      <c r="M31" s="84">
        <f>F31</f>
        <v/>
      </c>
      <c r="N31" s="85">
        <f>G31</f>
        <v/>
      </c>
      <c r="O31" s="86">
        <f>H31</f>
        <v/>
      </c>
      <c r="P31" s="85">
        <f>I31</f>
        <v/>
      </c>
      <c r="Q31" s="87">
        <f>J31</f>
        <v/>
      </c>
      <c r="R31" s="388" t="inlineStr">
        <is>
          <t>kPa</t>
        </is>
      </c>
      <c r="S31" s="389">
        <f>IF(D31&lt;E31,(E31-D31)*0.002,"x")</f>
        <v/>
      </c>
      <c r="T31" s="388" t="n">
        <v>3586119</v>
      </c>
      <c r="U31" s="35" t="n"/>
    </row>
    <row r="32" ht="15" customFormat="1" customHeight="1" s="297" thickBot="1">
      <c r="A32" s="38" t="n"/>
      <c r="B32" s="390" t="n"/>
      <c r="C32" s="390" t="n"/>
      <c r="D32" s="390" t="n"/>
      <c r="E32" s="391" t="n"/>
      <c r="F32" s="392" t="n">
        <v>-34.28</v>
      </c>
      <c r="G32" s="393" t="n">
        <v>-17.41</v>
      </c>
      <c r="H32" s="393" t="n">
        <v>0.17</v>
      </c>
      <c r="I32" s="393" t="n">
        <v>17.72</v>
      </c>
      <c r="J32" s="394" t="n">
        <v>34.44</v>
      </c>
      <c r="K32" s="390" t="n"/>
      <c r="L32" s="390" t="n"/>
      <c r="M32" s="392" t="n">
        <v>-34.29</v>
      </c>
      <c r="N32" s="393" t="n">
        <v>-17.5</v>
      </c>
      <c r="O32" s="393" t="n">
        <v>0</v>
      </c>
      <c r="P32" s="393" t="n">
        <v>17.49</v>
      </c>
      <c r="Q32" s="394" t="n">
        <v>34.29</v>
      </c>
      <c r="R32" s="390" t="n"/>
      <c r="S32" s="395" t="n"/>
      <c r="T32" s="390" t="n"/>
      <c r="U32" s="35" t="n"/>
    </row>
    <row r="33" ht="15" customFormat="1" customHeight="1" s="297" thickBot="1">
      <c r="A33" s="38" t="n"/>
      <c r="B33" s="247" t="n">
        <v>53</v>
      </c>
      <c r="C33" s="247" t="inlineStr">
        <is>
          <t>PTX 53</t>
        </is>
      </c>
      <c r="D33" s="247" t="n">
        <v>-35</v>
      </c>
      <c r="E33" s="385" t="n">
        <v>35</v>
      </c>
      <c r="F33" s="126">
        <f>IF(AND(D33&lt;0,E33=0)=TRUE,0.98*D33,IF(AND(D33=0,E33&gt;0)=TRUE,0,IF(D33=-E33,0.98*D33,IF(AND(D33=-20,E33=100)=TRUE,0.98*D33,IF(AND(D33=-35,E33=300)=TRUE,0.98*D33,IF(AND(D33=-100,E33=160)=TRUE,80,IF(AND(D33=-100,E33=900)=TRUE,80,"x")))))))</f>
        <v/>
      </c>
      <c r="G33" s="82">
        <f>IF(AND(D33&lt;0,E33=0)=TRUE,0.75*D33,IF(AND(D33=0,E33&gt;0)=TRUE,0.25*E33,IF(D33=-E33,0.5*D33,IF(AND(D33=-20,E33=100)=TRUE,0,IF(AND(D33=-35,E33=300)=TRUE,0,IF(AND(D33=-100,E33=160)=TRUE,0,IF(AND(D33=-100,E33=900)=TRUE,0,"x")))))))</f>
        <v/>
      </c>
      <c r="H33" s="82">
        <f>IF(AND(D33&lt;0,E33=0)=TRUE,0.5*D33,IF(AND(D33=0,E33&gt;0)=TRUE,0.5*E33,IF(D33=-E33,0,IF(AND(D33=-20,E33=100)=TRUE,0.33*E33,IF(AND(D33=-35,E33=300)=TRUE,0.33*E33,IF(AND(D33=-100,E33=160)=TRUE,0.33*E33,IF(AND(D33=-100,E33=900)=TRUE,0.33*E33,"x")))))))</f>
        <v/>
      </c>
      <c r="I33" s="82">
        <f>IF(AND(D33&lt;0,E33=0)=TRUE,0.25*D33,IF(AND(D33=0,E33&gt;0)=TRUE,0.75*E33,IF(D33=-E33,0.5*E33,IF(AND(D33=-20,E33=100)=TRUE,0.66*E33,IF(AND(D33=-35,E33=300)=TRUE,0.66*E33,IF(AND(D33=-100,E33=160)=TRUE,0.66*E33,IF(AND(D33=-100,E33=900)=TRUE,0.66*E33,"x")))))))</f>
        <v/>
      </c>
      <c r="J33" s="83">
        <f>IF(AND(D33&lt;0,E33=0)=TRUE,0*D33,IF(AND(D33=0,E33&gt;0)=TRUE,0.98*E33,IF(D33=-E33,0.98*E33,IF(AND(D33=-20,E33=100)=TRUE,0.98*E33,IF(AND(D33=-35,E33=300)=TRUE,0.98*E33,IF(AND(D33=-100,E33=160)=TRUE,0.98*E33,IF(AND(D33=-100,E33=900)=TRUE,0.98*E33,"x")))))))</f>
        <v/>
      </c>
      <c r="K33" s="386" t="inlineStr">
        <is>
          <t>Fail</t>
        </is>
      </c>
      <c r="L33" s="387" t="inlineStr">
        <is>
          <t>A</t>
        </is>
      </c>
      <c r="M33" s="84">
        <f>F33</f>
        <v/>
      </c>
      <c r="N33" s="85">
        <f>G33</f>
        <v/>
      </c>
      <c r="O33" s="86">
        <f>H33</f>
        <v/>
      </c>
      <c r="P33" s="85">
        <f>I33</f>
        <v/>
      </c>
      <c r="Q33" s="87">
        <f>J33</f>
        <v/>
      </c>
      <c r="R33" s="388" t="inlineStr">
        <is>
          <t>kPa</t>
        </is>
      </c>
      <c r="S33" s="389">
        <f>IF(D33&lt;E33,(E33-D33)*0.002,"x")</f>
        <v/>
      </c>
      <c r="T33" s="388" t="n">
        <v>2491742</v>
      </c>
      <c r="U33" s="35" t="n"/>
    </row>
    <row r="34" ht="15" customFormat="1" customHeight="1" s="297" thickBot="1">
      <c r="A34" s="38" t="n"/>
      <c r="B34" s="390" t="n"/>
      <c r="C34" s="390" t="n"/>
      <c r="D34" s="390" t="n"/>
      <c r="E34" s="391" t="n"/>
      <c r="F34" s="392" t="n">
        <v>-35</v>
      </c>
      <c r="G34" s="393" t="n">
        <v>-17.3</v>
      </c>
      <c r="H34" s="393" t="n">
        <v>0.03</v>
      </c>
      <c r="I34" s="393" t="n">
        <v>17.55</v>
      </c>
      <c r="J34" s="394" t="n">
        <v>34.3</v>
      </c>
      <c r="K34" s="390" t="n"/>
      <c r="L34" s="390" t="n"/>
      <c r="M34" s="392" t="n">
        <v>-34.3</v>
      </c>
      <c r="N34" s="393" t="n">
        <v>-17.49</v>
      </c>
      <c r="O34" s="393" t="n">
        <v>0</v>
      </c>
      <c r="P34" s="393" t="n">
        <v>17.5</v>
      </c>
      <c r="Q34" s="394" t="n">
        <v>34.3</v>
      </c>
      <c r="R34" s="390" t="n"/>
      <c r="S34" s="395" t="n"/>
      <c r="T34" s="390" t="n"/>
      <c r="U34" s="35" t="n"/>
    </row>
    <row r="35" ht="15" customFormat="1" customHeight="1" s="297" thickBot="1">
      <c r="A35" s="38" t="n"/>
      <c r="B35" s="247" t="n">
        <v>54</v>
      </c>
      <c r="C35" s="247" t="inlineStr">
        <is>
          <t>PTX 54</t>
        </is>
      </c>
      <c r="D35" s="247" t="n">
        <v>0</v>
      </c>
      <c r="E35" s="385" t="n">
        <v>600</v>
      </c>
      <c r="F35" s="126">
        <f>IF(AND(D35&lt;0,E35=0)=TRUE,0.98*D35,IF(AND(D35=0,E35&gt;0)=TRUE,0,IF(D35=-E35,0.98*D35,IF(AND(D35=-20,E35=100)=TRUE,0.98*D35,IF(AND(D35=-35,E35=300)=TRUE,0.98*D35,IF(AND(D35=-100,E35=160)=TRUE,80,IF(AND(D35=-100,E35=900)=TRUE,80,"x")))))))</f>
        <v/>
      </c>
      <c r="G35" s="82">
        <f>IF(AND(D35&lt;0,E35=0)=TRUE,0.75*D35,IF(AND(D35=0,E35&gt;0)=TRUE,0.25*E35,IF(D35=-E35,0.5*D35,IF(AND(D35=-20,E35=100)=TRUE,0,IF(AND(D35=-35,E35=300)=TRUE,0,IF(AND(D35=-100,E35=160)=TRUE,0,IF(AND(D35=-100,E35=900)=TRUE,0,"x")))))))</f>
        <v/>
      </c>
      <c r="H35" s="82">
        <f>IF(AND(D35&lt;0,E35=0)=TRUE,0.5*D35,IF(AND(D35=0,E35&gt;0)=TRUE,0.5*E35,IF(D35=-E35,0,IF(AND(D35=-20,E35=100)=TRUE,0.33*E35,IF(AND(D35=-35,E35=300)=TRUE,0.33*E35,IF(AND(D35=-100,E35=160)=TRUE,0.33*E35,IF(AND(D35=-100,E35=900)=TRUE,0.33*E35,"x")))))))</f>
        <v/>
      </c>
      <c r="I35" s="82">
        <f>IF(AND(D35&lt;0,E35=0)=TRUE,0.25*D35,IF(AND(D35=0,E35&gt;0)=TRUE,0.75*E35,IF(D35=-E35,0.5*E35,IF(AND(D35=-20,E35=100)=TRUE,0.66*E35,IF(AND(D35=-35,E35=300)=TRUE,0.66*E35,IF(AND(D35=-100,E35=160)=TRUE,0.66*E35,IF(AND(D35=-100,E35=900)=TRUE,0.66*E35,"x")))))))</f>
        <v/>
      </c>
      <c r="J35" s="83">
        <f>IF(AND(D35&lt;0,E35=0)=TRUE,0*D35,IF(AND(D35=0,E35&gt;0)=TRUE,0.98*E35,IF(D35=-E35,0.98*E35,IF(AND(D35=-20,E35=100)=TRUE,0.98*E35,IF(AND(D35=-35,E35=300)=TRUE,0.98*E35,IF(AND(D35=-100,E35=160)=TRUE,0.98*E35,IF(AND(D35=-100,E35=900)=TRUE,0.98*E35,"x")))))))</f>
        <v/>
      </c>
      <c r="K35" s="386" t="inlineStr">
        <is>
          <t>Fail</t>
        </is>
      </c>
      <c r="L35" s="387" t="inlineStr">
        <is>
          <t>A</t>
        </is>
      </c>
      <c r="M35" s="84">
        <f>F35</f>
        <v/>
      </c>
      <c r="N35" s="85">
        <f>G35</f>
        <v/>
      </c>
      <c r="O35" s="86">
        <f>H35</f>
        <v/>
      </c>
      <c r="P35" s="85">
        <f>I35</f>
        <v/>
      </c>
      <c r="Q35" s="87">
        <f>J35</f>
        <v/>
      </c>
      <c r="R35" s="388" t="inlineStr">
        <is>
          <t>kPa</t>
        </is>
      </c>
      <c r="S35" s="389">
        <f>IF(D35&lt;E35,(E35-D35)*0.002,"x")</f>
        <v/>
      </c>
      <c r="T35" s="388" t="inlineStr">
        <is>
          <t>Y21628/08</t>
        </is>
      </c>
      <c r="U35" s="35" t="n"/>
    </row>
    <row r="36" ht="15" customFormat="1" customHeight="1" s="297" thickBot="1">
      <c r="A36" s="38" t="n"/>
      <c r="B36" s="390" t="n"/>
      <c r="C36" s="390" t="n"/>
      <c r="D36" s="390" t="n"/>
      <c r="E36" s="391" t="n"/>
      <c r="F36" s="392" t="n">
        <v>0</v>
      </c>
      <c r="G36" s="393" t="n">
        <v>147.6</v>
      </c>
      <c r="H36" s="393" t="n">
        <v>300.3</v>
      </c>
      <c r="I36" s="393" t="n">
        <v>450.3</v>
      </c>
      <c r="J36" s="394" t="n">
        <v>588.34</v>
      </c>
      <c r="K36" s="390" t="n"/>
      <c r="L36" s="390" t="n"/>
      <c r="M36" s="392" t="n">
        <v>0</v>
      </c>
      <c r="N36" s="393" t="n">
        <v>149.95</v>
      </c>
      <c r="O36" s="393" t="n">
        <v>299.92</v>
      </c>
      <c r="P36" s="393" t="n">
        <v>449.96</v>
      </c>
      <c r="Q36" s="394" t="n">
        <v>588</v>
      </c>
      <c r="R36" s="390" t="n"/>
      <c r="S36" s="395" t="n"/>
      <c r="T36" s="390" t="n"/>
      <c r="U36" s="35" t="n"/>
    </row>
    <row r="37" ht="15" customFormat="1" customHeight="1" s="297" thickBot="1">
      <c r="A37" s="38" t="n"/>
      <c r="B37" s="247" t="n">
        <v>55</v>
      </c>
      <c r="C37" s="247" t="inlineStr">
        <is>
          <t>PTX 55</t>
        </is>
      </c>
      <c r="D37" s="247" t="n">
        <v>0</v>
      </c>
      <c r="E37" s="385" t="n">
        <v>600</v>
      </c>
      <c r="F37" s="126">
        <f>IF(AND(D37&lt;0,E37=0)=TRUE,0.98*D37,IF(AND(D37=0,E37&gt;0)=TRUE,0,IF(D37=-E37,0.98*D37,IF(AND(D37=-20,E37=100)=TRUE,0.98*D37,IF(AND(D37=-35,E37=300)=TRUE,0.98*D37,IF(AND(D37=-100,E37=160)=TRUE,80,IF(AND(D37=-100,E37=900)=TRUE,80,"x")))))))</f>
        <v/>
      </c>
      <c r="G37" s="82">
        <f>IF(AND(D37&lt;0,E37=0)=TRUE,0.75*D37,IF(AND(D37=0,E37&gt;0)=TRUE,0.25*E37,IF(D37=-E37,0.5*D37,IF(AND(D37=-20,E37=100)=TRUE,0,IF(AND(D37=-35,E37=300)=TRUE,0,IF(AND(D37=-100,E37=160)=TRUE,0,IF(AND(D37=-100,E37=900)=TRUE,0,"x")))))))</f>
        <v/>
      </c>
      <c r="H37" s="82">
        <f>IF(AND(D37&lt;0,E37=0)=TRUE,0.5*D37,IF(AND(D37=0,E37&gt;0)=TRUE,0.5*E37,IF(D37=-E37,0,IF(AND(D37=-20,E37=100)=TRUE,0.33*E37,IF(AND(D37=-35,E37=300)=TRUE,0.33*E37,IF(AND(D37=-100,E37=160)=TRUE,0.33*E37,IF(AND(D37=-100,E37=900)=TRUE,0.33*E37,"x")))))))</f>
        <v/>
      </c>
      <c r="I37" s="82">
        <f>IF(AND(D37&lt;0,E37=0)=TRUE,0.25*D37,IF(AND(D37=0,E37&gt;0)=TRUE,0.75*E37,IF(D37=-E37,0.5*E37,IF(AND(D37=-20,E37=100)=TRUE,0.66*E37,IF(AND(D37=-35,E37=300)=TRUE,0.66*E37,IF(AND(D37=-100,E37=160)=TRUE,0.66*E37,IF(AND(D37=-100,E37=900)=TRUE,0.66*E37,"x")))))))</f>
        <v/>
      </c>
      <c r="J37" s="83">
        <f>IF(AND(D37&lt;0,E37=0)=TRUE,0*D37,IF(AND(D37=0,E37&gt;0)=TRUE,0.98*E37,IF(D37=-E37,0.98*E37,IF(AND(D37=-20,E37=100)=TRUE,0.98*E37,IF(AND(D37=-35,E37=300)=TRUE,0.98*E37,IF(AND(D37=-100,E37=160)=TRUE,0.98*E37,IF(AND(D37=-100,E37=900)=TRUE,0.98*E37,"x")))))))</f>
        <v/>
      </c>
      <c r="K37" s="386" t="inlineStr">
        <is>
          <t>Pass</t>
        </is>
      </c>
      <c r="L37" s="387" t="inlineStr">
        <is>
          <t>A</t>
        </is>
      </c>
      <c r="M37" s="84">
        <f>F37</f>
        <v/>
      </c>
      <c r="N37" s="85">
        <f>G37</f>
        <v/>
      </c>
      <c r="O37" s="86">
        <f>H37</f>
        <v/>
      </c>
      <c r="P37" s="85">
        <f>I37</f>
        <v/>
      </c>
      <c r="Q37" s="87">
        <f>J37</f>
        <v/>
      </c>
      <c r="R37" s="388" t="inlineStr">
        <is>
          <t>kPa</t>
        </is>
      </c>
      <c r="S37" s="389">
        <f>IF(D37&lt;E37,(E37-D37)*0.002,"x")</f>
        <v/>
      </c>
      <c r="T37" s="388" t="inlineStr">
        <is>
          <t>Y21919/04</t>
        </is>
      </c>
      <c r="U37" s="35" t="n"/>
    </row>
    <row r="38" ht="15" customFormat="1" customHeight="1" s="297" thickBot="1">
      <c r="A38" s="38" t="n"/>
      <c r="B38" s="390" t="n"/>
      <c r="C38" s="390" t="n"/>
      <c r="D38" s="390" t="n"/>
      <c r="E38" s="391" t="n"/>
      <c r="F38" s="392" t="n">
        <v>0</v>
      </c>
      <c r="G38" s="393" t="n">
        <v>149.35</v>
      </c>
      <c r="H38" s="393" t="n">
        <v>299.58</v>
      </c>
      <c r="I38" s="393" t="n">
        <v>449.82</v>
      </c>
      <c r="J38" s="394" t="n">
        <v>588.12</v>
      </c>
      <c r="K38" s="390" t="n"/>
      <c r="L38" s="390" t="n"/>
      <c r="M38" s="392" t="n">
        <v>0</v>
      </c>
      <c r="N38" s="393" t="n">
        <v>149.95</v>
      </c>
      <c r="O38" s="393" t="n">
        <v>299.88</v>
      </c>
      <c r="P38" s="393" t="n">
        <v>449.92</v>
      </c>
      <c r="Q38" s="394" t="n">
        <v>587.92</v>
      </c>
      <c r="R38" s="390" t="n"/>
      <c r="S38" s="395" t="n"/>
      <c r="T38" s="390" t="n"/>
      <c r="U38" s="35" t="n"/>
    </row>
    <row r="39" ht="15" customFormat="1" customHeight="1" s="297" thickBot="1">
      <c r="A39" s="38" t="n"/>
      <c r="B39" s="247" t="n">
        <v>56</v>
      </c>
      <c r="C39" s="247" t="inlineStr">
        <is>
          <t>PTX 56</t>
        </is>
      </c>
      <c r="D39" s="247" t="n">
        <v>0</v>
      </c>
      <c r="E39" s="385" t="n">
        <v>600</v>
      </c>
      <c r="F39" s="126">
        <f>IF(AND(D39&lt;0,E39=0)=TRUE,0.98*D39,IF(AND(D39=0,E39&gt;0)=TRUE,0,IF(D39=-E39,0.98*D39,IF(AND(D39=-20,E39=100)=TRUE,0.98*D39,IF(AND(D39=-35,E39=300)=TRUE,0.98*D39,IF(AND(D39=-100,E39=160)=TRUE,80,IF(AND(D39=-100,E39=900)=TRUE,80,"x")))))))</f>
        <v/>
      </c>
      <c r="G39" s="82">
        <f>IF(AND(D39&lt;0,E39=0)=TRUE,0.75*D39,IF(AND(D39=0,E39&gt;0)=TRUE,0.25*E39,IF(D39=-E39,0.5*D39,IF(AND(D39=-20,E39=100)=TRUE,0,IF(AND(D39=-35,E39=300)=TRUE,0,IF(AND(D39=-100,E39=160)=TRUE,0,IF(AND(D39=-100,E39=900)=TRUE,0,"x")))))))</f>
        <v/>
      </c>
      <c r="H39" s="82">
        <f>IF(AND(D39&lt;0,E39=0)=TRUE,0.5*D39,IF(AND(D39=0,E39&gt;0)=TRUE,0.5*E39,IF(D39=-E39,0,IF(AND(D39=-20,E39=100)=TRUE,0.33*E39,IF(AND(D39=-35,E39=300)=TRUE,0.33*E39,IF(AND(D39=-100,E39=160)=TRUE,0.33*E39,IF(AND(D39=-100,E39=900)=TRUE,0.33*E39,"x")))))))</f>
        <v/>
      </c>
      <c r="I39" s="82">
        <f>IF(AND(D39&lt;0,E39=0)=TRUE,0.25*D39,IF(AND(D39=0,E39&gt;0)=TRUE,0.75*E39,IF(D39=-E39,0.5*E39,IF(AND(D39=-20,E39=100)=TRUE,0.66*E39,IF(AND(D39=-35,E39=300)=TRUE,0.66*E39,IF(AND(D39=-100,E39=160)=TRUE,0.66*E39,IF(AND(D39=-100,E39=900)=TRUE,0.66*E39,"x")))))))</f>
        <v/>
      </c>
      <c r="J39" s="83">
        <f>IF(AND(D39&lt;0,E39=0)=TRUE,0*D39,IF(AND(D39=0,E39&gt;0)=TRUE,0.98*E39,IF(D39=-E39,0.98*E39,IF(AND(D39=-20,E39=100)=TRUE,0.98*E39,IF(AND(D39=-35,E39=300)=TRUE,0.98*E39,IF(AND(D39=-100,E39=160)=TRUE,0.98*E39,IF(AND(D39=-100,E39=900)=TRUE,0.98*E39,"x")))))))</f>
        <v/>
      </c>
      <c r="K39" s="386" t="inlineStr">
        <is>
          <t>Fail</t>
        </is>
      </c>
      <c r="L39" s="387" t="inlineStr">
        <is>
          <t>A</t>
        </is>
      </c>
      <c r="M39" s="84">
        <f>F39</f>
        <v/>
      </c>
      <c r="N39" s="85">
        <f>G39</f>
        <v/>
      </c>
      <c r="O39" s="86">
        <f>H39</f>
        <v/>
      </c>
      <c r="P39" s="85">
        <f>I39</f>
        <v/>
      </c>
      <c r="Q39" s="87">
        <f>J39</f>
        <v/>
      </c>
      <c r="R39" s="388" t="inlineStr">
        <is>
          <t>kPa</t>
        </is>
      </c>
      <c r="S39" s="389">
        <f>IF(D39&lt;E39,(E39-D39)*0.002,"x")</f>
        <v/>
      </c>
      <c r="T39" s="388" t="inlineStr">
        <is>
          <t>Y21927/02</t>
        </is>
      </c>
      <c r="U39" s="35" t="n"/>
    </row>
    <row r="40" ht="15" customFormat="1" customHeight="1" s="297" thickBot="1">
      <c r="A40" s="38" t="n"/>
      <c r="B40" s="390" t="n"/>
      <c r="C40" s="390" t="n"/>
      <c r="D40" s="390" t="n"/>
      <c r="E40" s="391" t="n"/>
      <c r="F40" s="392" t="n">
        <v>0</v>
      </c>
      <c r="G40" s="393" t="n">
        <v>147.92</v>
      </c>
      <c r="H40" s="393" t="n">
        <v>298.23</v>
      </c>
      <c r="I40" s="393" t="n">
        <v>448.59</v>
      </c>
      <c r="J40" s="394" t="n">
        <v>586.9400000000001</v>
      </c>
      <c r="K40" s="390" t="n"/>
      <c r="L40" s="390" t="n"/>
      <c r="M40" s="392" t="n">
        <v>0</v>
      </c>
      <c r="N40" s="393" t="n">
        <v>150</v>
      </c>
      <c r="O40" s="393" t="n">
        <v>300.03</v>
      </c>
      <c r="P40" s="393" t="n">
        <v>450</v>
      </c>
      <c r="Q40" s="394" t="n">
        <v>588</v>
      </c>
      <c r="R40" s="390" t="n"/>
      <c r="S40" s="395" t="n"/>
      <c r="T40" s="390" t="n"/>
      <c r="U40" s="35" t="n"/>
    </row>
    <row r="41" ht="15" customFormat="1" customHeight="1" s="297" thickBot="1">
      <c r="A41" s="38" t="n"/>
      <c r="B41" s="247" t="n">
        <v>57</v>
      </c>
      <c r="C41" s="247" t="inlineStr">
        <is>
          <t>PTX 57</t>
        </is>
      </c>
      <c r="D41" s="247" t="n">
        <v>0</v>
      </c>
      <c r="E41" s="385" t="n">
        <v>600</v>
      </c>
      <c r="F41" s="126" t="n">
        <v>0</v>
      </c>
      <c r="G41" s="82">
        <f>IF(AND(D41&lt;0,E41=0)=TRUE,0.75*D41,IF(AND(D41=0,E41&gt;0)=TRUE,0.25*E41,IF(D41=-E41,0.5*D41,IF(AND(D41=-20,E41=100)=TRUE,0,IF(AND(D41=-35,E41=300)=TRUE,0,IF(AND(D41=-100,E41=160)=TRUE,0,IF(AND(D41=-100,E41=900)=TRUE,0,"x")))))))</f>
        <v/>
      </c>
      <c r="H41" s="82">
        <f>IF(AND(D41&lt;0,E41=0)=TRUE,0.5*D41,IF(AND(D41=0,E41&gt;0)=TRUE,0.5*E41,IF(D41=-E41,0,IF(AND(D41=-20,E41=100)=TRUE,0.33*E41,IF(AND(D41=-35,E41=300)=TRUE,0.33*E41,IF(AND(D41=-100,E41=160)=TRUE,0.33*E41,IF(AND(D41=-100,E41=900)=TRUE,0.33*E41,"x")))))))</f>
        <v/>
      </c>
      <c r="I41" s="82">
        <f>IF(AND(D41&lt;0,E41=0)=TRUE,0.25*D41,IF(AND(D41=0,E41&gt;0)=TRUE,0.75*E41,IF(D41=-E41,0.5*E41,IF(AND(D41=-20,E41=100)=TRUE,0.66*E41,IF(AND(D41=-35,E41=300)=TRUE,0.66*E41,IF(AND(D41=-100,E41=160)=TRUE,0.66*E41,IF(AND(D41=-100,E41=900)=TRUE,0.66*E41,"x")))))))</f>
        <v/>
      </c>
      <c r="J41" s="83">
        <f>IF(AND(D41&lt;0,E41=0)=TRUE,0*D41,IF(AND(D41=0,E41&gt;0)=TRUE,0.98*E41,IF(D41=-E41,0.98*E41,IF(AND(D41=-20,E41=100)=TRUE,0.98*E41,IF(AND(D41=-35,E41=300)=TRUE,0.98*E41,IF(AND(D41=-100,E41=160)=TRUE,0.98*E41,IF(AND(D41=-100,E41=900)=TRUE,0.98*E41,"x")))))))</f>
        <v/>
      </c>
      <c r="K41" s="386" t="inlineStr">
        <is>
          <t>Pass</t>
        </is>
      </c>
      <c r="L41" s="387" t="inlineStr">
        <is>
          <t>A</t>
        </is>
      </c>
      <c r="M41" s="84">
        <f>F41</f>
        <v/>
      </c>
      <c r="N41" s="85">
        <f>G41</f>
        <v/>
      </c>
      <c r="O41" s="86">
        <f>H41</f>
        <v/>
      </c>
      <c r="P41" s="85">
        <f>I41</f>
        <v/>
      </c>
      <c r="Q41" s="87">
        <f>J41</f>
        <v/>
      </c>
      <c r="R41" s="388" t="inlineStr">
        <is>
          <t>kPa</t>
        </is>
      </c>
      <c r="S41" s="389">
        <f>IF(D41&lt;E41,(E41-D41)*0.002,"x")</f>
        <v/>
      </c>
      <c r="T41" s="388" t="inlineStr">
        <is>
          <t>Y02025/11</t>
        </is>
      </c>
      <c r="U41" s="35" t="n"/>
    </row>
    <row r="42" ht="15" customFormat="1" customHeight="1" s="297" thickBot="1">
      <c r="A42" s="38" t="n"/>
      <c r="B42" s="390" t="n"/>
      <c r="C42" s="390" t="n"/>
      <c r="D42" s="390" t="n"/>
      <c r="E42" s="391" t="n"/>
      <c r="F42" s="392" t="n">
        <v>-0.44</v>
      </c>
      <c r="G42" s="393" t="n">
        <v>149.66</v>
      </c>
      <c r="H42" s="393" t="n">
        <v>299.77</v>
      </c>
      <c r="I42" s="393" t="n">
        <v>449.79</v>
      </c>
      <c r="J42" s="394" t="n">
        <v>587.92</v>
      </c>
      <c r="K42" s="390" t="n"/>
      <c r="L42" s="390" t="n"/>
      <c r="M42" s="392" t="n">
        <v>0.03</v>
      </c>
      <c r="N42" s="393" t="n">
        <v>150</v>
      </c>
      <c r="O42" s="393" t="n">
        <v>299.92</v>
      </c>
      <c r="P42" s="393" t="n">
        <v>450</v>
      </c>
      <c r="Q42" s="394" t="n">
        <v>587.96</v>
      </c>
      <c r="R42" s="390" t="n"/>
      <c r="S42" s="395" t="n"/>
      <c r="T42" s="390" t="n"/>
      <c r="U42" s="35" t="n"/>
    </row>
    <row r="43" ht="15" customFormat="1" customHeight="1" s="297" thickBot="1">
      <c r="A43" s="38" t="n"/>
      <c r="B43" s="247" t="n">
        <v>58</v>
      </c>
      <c r="C43" s="247" t="inlineStr">
        <is>
          <t>PTX 58</t>
        </is>
      </c>
      <c r="D43" s="247" t="n">
        <v>0</v>
      </c>
      <c r="E43" s="385" t="n">
        <v>600</v>
      </c>
      <c r="F43" s="126">
        <f>IF(AND(D43&lt;0,E43=0)=TRUE,0.98*D43,IF(AND(D43=0,E43&gt;0)=TRUE,0,IF(D43=-E43,0.98*D43,IF(AND(D43=-20,E43=100)=TRUE,0.98*D43,IF(AND(D43=-35,E43=300)=TRUE,0.98*D43,IF(AND(D43=-100,E43=160)=TRUE,80,IF(AND(D43=-100,E43=900)=TRUE,80,"x")))))))</f>
        <v/>
      </c>
      <c r="G43" s="82">
        <f>IF(AND(D43&lt;0,E43=0)=TRUE,0.75*D43,IF(AND(D43=0,E43&gt;0)=TRUE,0.25*E43,IF(D43=-E43,0.5*D43,IF(AND(D43=-20,E43=100)=TRUE,0,IF(AND(D43=-35,E43=300)=TRUE,0,IF(AND(D43=-100,E43=160)=TRUE,0,IF(AND(D43=-100,E43=900)=TRUE,0,"x")))))))</f>
        <v/>
      </c>
      <c r="H43" s="82">
        <f>IF(AND(D43&lt;0,E43=0)=TRUE,0.5*D43,IF(AND(D43=0,E43&gt;0)=TRUE,0.5*E43,IF(D43=-E43,0,IF(AND(D43=-20,E43=100)=TRUE,0.33*E43,IF(AND(D43=-35,E43=300)=TRUE,0.33*E43,IF(AND(D43=-100,E43=160)=TRUE,0.33*E43,IF(AND(D43=-100,E43=900)=TRUE,0.33*E43,"x")))))))</f>
        <v/>
      </c>
      <c r="I43" s="82">
        <f>IF(AND(D43&lt;0,E43=0)=TRUE,0.25*D43,IF(AND(D43=0,E43&gt;0)=TRUE,0.75*E43,IF(D43=-E43,0.5*E43,IF(AND(D43=-20,E43=100)=TRUE,0.66*E43,IF(AND(D43=-35,E43=300)=TRUE,0.66*E43,IF(AND(D43=-100,E43=160)=TRUE,0.66*E43,IF(AND(D43=-100,E43=900)=TRUE,0.66*E43,"x")))))))</f>
        <v/>
      </c>
      <c r="J43" s="83">
        <f>IF(AND(D43&lt;0,E43=0)=TRUE,0*D43,IF(AND(D43=0,E43&gt;0)=TRUE,0.98*E43,IF(D43=-E43,0.98*E43,IF(AND(D43=-20,E43=100)=TRUE,0.98*E43,IF(AND(D43=-35,E43=300)=TRUE,0.98*E43,IF(AND(D43=-100,E43=160)=TRUE,0.98*E43,IF(AND(D43=-100,E43=900)=TRUE,0.98*E43,"x")))))))</f>
        <v/>
      </c>
      <c r="K43" s="386" t="inlineStr">
        <is>
          <t>Fail</t>
        </is>
      </c>
      <c r="L43" s="387" t="inlineStr">
        <is>
          <t>A</t>
        </is>
      </c>
      <c r="M43" s="84">
        <f>F43</f>
        <v/>
      </c>
      <c r="N43" s="85">
        <f>G43</f>
        <v/>
      </c>
      <c r="O43" s="86">
        <f>H43</f>
        <v/>
      </c>
      <c r="P43" s="85">
        <f>I43</f>
        <v/>
      </c>
      <c r="Q43" s="87">
        <f>J43</f>
        <v/>
      </c>
      <c r="R43" s="388" t="inlineStr">
        <is>
          <t>kPa</t>
        </is>
      </c>
      <c r="S43" s="389">
        <f>IF(D43&lt;E43,(E43-D43)*0.002,"x")</f>
        <v/>
      </c>
      <c r="T43" s="388" t="inlineStr">
        <is>
          <t>01382/04</t>
        </is>
      </c>
      <c r="U43" s="35" t="n"/>
    </row>
    <row r="44" ht="15" customFormat="1" customHeight="1" s="297" thickBot="1">
      <c r="A44" s="38" t="n"/>
      <c r="B44" s="390" t="n"/>
      <c r="C44" s="390" t="n"/>
      <c r="D44" s="390" t="n"/>
      <c r="E44" s="391" t="n"/>
      <c r="F44" s="392" t="n">
        <v>-1.21</v>
      </c>
      <c r="G44" s="393" t="n">
        <v>148.95</v>
      </c>
      <c r="H44" s="393" t="n">
        <v>299.08</v>
      </c>
      <c r="I44" s="393" t="n">
        <v>449.29</v>
      </c>
      <c r="J44" s="394" t="n">
        <v>587.38</v>
      </c>
      <c r="K44" s="390" t="n"/>
      <c r="L44" s="390" t="n"/>
      <c r="M44" s="392" t="n">
        <v>0.03</v>
      </c>
      <c r="N44" s="393" t="n">
        <v>149.96</v>
      </c>
      <c r="O44" s="393" t="n">
        <v>299.96</v>
      </c>
      <c r="P44" s="393" t="n">
        <v>450</v>
      </c>
      <c r="Q44" s="394" t="n">
        <v>588.03</v>
      </c>
      <c r="R44" s="390" t="n"/>
      <c r="S44" s="395" t="n"/>
      <c r="T44" s="390" t="n"/>
      <c r="U44" s="35" t="n"/>
    </row>
    <row r="45" ht="15" customFormat="1" customHeight="1" s="297" thickBot="1">
      <c r="A45" s="38" t="n"/>
      <c r="B45" s="247" t="n">
        <v>59</v>
      </c>
      <c r="C45" s="247" t="inlineStr">
        <is>
          <t>PTX 59</t>
        </is>
      </c>
      <c r="D45" s="247" t="n">
        <v>-35</v>
      </c>
      <c r="E45" s="385" t="n">
        <v>300</v>
      </c>
      <c r="F45" s="126" t="n">
        <v>-34.3</v>
      </c>
      <c r="G45" s="82">
        <f>IF(AND(D45&lt;0,E45=0)=TRUE,0.75*D45,IF(AND(D45=0,E45&gt;0)=TRUE,0.25*E45,IF(D45=-E45,0.5*D45,IF(AND(D45=-20,E45=100)=TRUE,0,IF(AND(D45=-35,E45=300)=TRUE,0,IF(AND(D45=-100,E45=160)=TRUE,0,IF(AND(D45=-100,E45=900)=TRUE,0,"x")))))))</f>
        <v/>
      </c>
      <c r="H45" s="82">
        <f>IF(AND(D45&lt;0,E45=0)=TRUE,0.5*D45,IF(AND(D45=0,E45&gt;0)=TRUE,0.5*E45,IF(D45=-E45,0,IF(AND(D45=-20,E45=100)=TRUE,0.33*E45,IF(AND(D45=-35,E45=300)=TRUE,0.33*E45,IF(AND(D45=-100,E45=160)=TRUE,0.33*E45,IF(AND(D45=-100,E45=900)=TRUE,0.33*E45,"x")))))))</f>
        <v/>
      </c>
      <c r="I45" s="82">
        <f>IF(AND(D45&lt;0,E45=0)=TRUE,0.25*D45,IF(AND(D45=0,E45&gt;0)=TRUE,0.75*E45,IF(D45=-E45,0.5*E45,IF(AND(D45=-20,E45=100)=TRUE,0.66*E45,IF(AND(D45=-35,E45=300)=TRUE,0.66*E45,IF(AND(D45=-100,E45=160)=TRUE,0.66*E45,IF(AND(D45=-100,E45=900)=TRUE,0.66*E45,"x")))))))</f>
        <v/>
      </c>
      <c r="J45" s="83">
        <f>IF(AND(D45&lt;0,E45=0)=TRUE,0*D45,IF(AND(D45=0,E45&gt;0)=TRUE,0.98*E45,IF(D45=-E45,0.98*E45,IF(AND(D45=-20,E45=100)=TRUE,0.98*E45,IF(AND(D45=-35,E45=300)=TRUE,0.98*E45,IF(AND(D45=-100,E45=160)=TRUE,0.98*E45,IF(AND(D45=-100,E45=900)=TRUE,0.98*E45,"x")))))))</f>
        <v/>
      </c>
      <c r="K45" s="386" t="inlineStr">
        <is>
          <t>Fail</t>
        </is>
      </c>
      <c r="L45" s="387" t="inlineStr">
        <is>
          <t>A</t>
        </is>
      </c>
      <c r="M45" s="84">
        <f>F45</f>
        <v/>
      </c>
      <c r="N45" s="85">
        <f>G45</f>
        <v/>
      </c>
      <c r="O45" s="86">
        <f>H45</f>
        <v/>
      </c>
      <c r="P45" s="85">
        <f>I45</f>
        <v/>
      </c>
      <c r="Q45" s="87">
        <f>J45</f>
        <v/>
      </c>
      <c r="R45" s="388" t="inlineStr">
        <is>
          <t>kPa</t>
        </is>
      </c>
      <c r="S45" s="389">
        <f>IF(D45&lt;E45,(E45-D45)*0.002,"x")</f>
        <v/>
      </c>
      <c r="T45" s="388" t="n">
        <v>3351922</v>
      </c>
      <c r="U45" s="35" t="n"/>
    </row>
    <row r="46" ht="15" customFormat="1" customHeight="1" s="297" thickBot="1">
      <c r="A46" s="38" t="n"/>
      <c r="B46" s="390" t="n"/>
      <c r="C46" s="390" t="n"/>
      <c r="D46" s="390" t="n"/>
      <c r="E46" s="391" t="n"/>
      <c r="F46" s="392" t="n">
        <v>-34.28</v>
      </c>
      <c r="G46" s="393" t="n">
        <v>0</v>
      </c>
      <c r="H46" s="393" t="n">
        <v>99.03</v>
      </c>
      <c r="I46" s="393" t="n">
        <v>198.12</v>
      </c>
      <c r="J46" s="394" t="n">
        <v>295.12</v>
      </c>
      <c r="K46" s="390" t="n"/>
      <c r="L46" s="390" t="n"/>
      <c r="M46" s="392" t="n">
        <v>-34.32</v>
      </c>
      <c r="N46" s="393" t="n">
        <v>-0.02</v>
      </c>
      <c r="O46" s="393" t="n">
        <v>98.95</v>
      </c>
      <c r="P46" s="393" t="n">
        <v>198.97</v>
      </c>
      <c r="Q46" s="394" t="n">
        <v>294</v>
      </c>
      <c r="R46" s="390" t="n"/>
      <c r="S46" s="395" t="n"/>
      <c r="T46" s="390" t="n"/>
      <c r="U46" s="35" t="n"/>
    </row>
    <row r="47" ht="15" customFormat="1" customHeight="1" s="297" thickBot="1">
      <c r="A47" s="38" t="n"/>
      <c r="B47" s="247" t="n">
        <v>60</v>
      </c>
      <c r="C47" s="247" t="inlineStr">
        <is>
          <t>PTX 60</t>
        </is>
      </c>
      <c r="D47" s="247" t="n">
        <v>-100</v>
      </c>
      <c r="E47" s="385" t="n">
        <v>160</v>
      </c>
      <c r="F47" s="126" t="n">
        <v>-80</v>
      </c>
      <c r="G47" s="82">
        <f>IF(AND(D47&lt;0,E47=0)=TRUE,0.75*D47,IF(AND(D47=0,E47&gt;0)=TRUE,0.25*E47,IF(D47=-E47,0.5*D47,IF(AND(D47=-20,E47=100)=TRUE,0,IF(AND(D47=-35,E47=300)=TRUE,0,IF(AND(D47=-100,E47=160)=TRUE,0,IF(AND(D47=-100,E47=900)=TRUE,0,"x")))))))</f>
        <v/>
      </c>
      <c r="H47" s="82">
        <f>IF(AND(D47&lt;0,E47=0)=TRUE,0.5*D47,IF(AND(D47=0,E47&gt;0)=TRUE,0.5*E47,IF(D47=-E47,0,IF(AND(D47=-20,E47=100)=TRUE,0.33*E47,IF(AND(D47=-35,E47=300)=TRUE,0.33*E47,IF(AND(D47=-100,E47=160)=TRUE,0.33*E47,IF(AND(D47=-100,E47=900)=TRUE,0.33*E47,"x")))))))</f>
        <v/>
      </c>
      <c r="I47" s="82">
        <f>IF(AND(D47&lt;0,E47=0)=TRUE,0.25*D47,IF(AND(D47=0,E47&gt;0)=TRUE,0.75*E47,IF(D47=-E47,0.5*E47,IF(AND(D47=-20,E47=100)=TRUE,0.66*E47,IF(AND(D47=-35,E47=300)=TRUE,0.66*E47,IF(AND(D47=-100,E47=160)=TRUE,0.66*E47,IF(AND(D47=-100,E47=900)=TRUE,0.66*E47,"x")))))))</f>
        <v/>
      </c>
      <c r="J47" s="83">
        <f>IF(AND(D47&lt;0,E47=0)=TRUE,0*D47,IF(AND(D47=0,E47&gt;0)=TRUE,0.98*E47,IF(D47=-E47,0.98*E47,IF(AND(D47=-20,E47=100)=TRUE,0.98*E47,IF(AND(D47=-35,E47=300)=TRUE,0.98*E47,IF(AND(D47=-100,E47=160)=TRUE,0.98*E47,IF(AND(D47=-100,E47=900)=TRUE,0.98*E47,"x")))))))</f>
        <v/>
      </c>
      <c r="K47" s="386" t="inlineStr">
        <is>
          <t>Pass</t>
        </is>
      </c>
      <c r="L47" s="387" t="inlineStr">
        <is>
          <t>A</t>
        </is>
      </c>
      <c r="M47" s="84">
        <f>F47</f>
        <v/>
      </c>
      <c r="N47" s="85">
        <f>G47</f>
        <v/>
      </c>
      <c r="O47" s="86">
        <f>H47</f>
        <v/>
      </c>
      <c r="P47" s="85">
        <f>I47</f>
        <v/>
      </c>
      <c r="Q47" s="87">
        <f>J47</f>
        <v/>
      </c>
      <c r="R47" s="388" t="inlineStr">
        <is>
          <t>kPa</t>
        </is>
      </c>
      <c r="S47" s="389">
        <f>IF(D47&lt;E47,(E47-D47)*0.002,"x")</f>
        <v/>
      </c>
      <c r="T47" s="388" t="n">
        <v>3597288</v>
      </c>
      <c r="U47" s="35" t="n"/>
    </row>
    <row r="48" ht="15" customFormat="1" customHeight="1" s="297" thickBot="1">
      <c r="A48" s="38" t="n"/>
      <c r="B48" s="390" t="n"/>
      <c r="C48" s="390" t="n"/>
      <c r="D48" s="390" t="n"/>
      <c r="E48" s="391" t="n"/>
      <c r="F48" s="392" t="n">
        <v>-80</v>
      </c>
      <c r="G48" s="393" t="n">
        <v>-0.13</v>
      </c>
      <c r="H48" s="393" t="n">
        <v>52.67</v>
      </c>
      <c r="I48" s="393" t="n">
        <v>105.47</v>
      </c>
      <c r="J48" s="394" t="n">
        <v>156.64</v>
      </c>
      <c r="K48" s="390" t="n"/>
      <c r="L48" s="390" t="n"/>
      <c r="M48" s="392" t="n">
        <v>-80</v>
      </c>
      <c r="N48" s="393" t="n">
        <v>-0.03</v>
      </c>
      <c r="O48" s="393" t="n">
        <v>52.76</v>
      </c>
      <c r="P48" s="393" t="n">
        <v>105.58</v>
      </c>
      <c r="Q48" s="394" t="n">
        <v>156.8</v>
      </c>
      <c r="R48" s="390" t="n"/>
      <c r="S48" s="395" t="n"/>
      <c r="T48" s="390" t="n"/>
      <c r="U48" s="35" t="n"/>
    </row>
    <row r="49" ht="15" customFormat="1" customHeight="1" s="297" thickBot="1">
      <c r="A49" s="38" t="n"/>
      <c r="B49" s="9" t="n"/>
      <c r="C49" s="9" t="n"/>
      <c r="D49" s="9" t="n"/>
      <c r="E49" s="9" t="inlineStr">
        <is>
          <t xml:space="preserve">         Pre-Cals. Checked By.</t>
        </is>
      </c>
      <c r="F49" s="377" t="inlineStr">
        <is>
          <t>CD</t>
        </is>
      </c>
      <c r="G49" s="378" t="n"/>
      <c r="H49" s="13" t="n"/>
      <c r="I49" s="13" t="n"/>
      <c r="J49" s="13" t="n"/>
      <c r="K49" s="13" t="n"/>
      <c r="L49" s="13" t="n"/>
      <c r="M49" s="13" t="n"/>
      <c r="N49" s="13" t="n"/>
      <c r="O49" s="13" t="n"/>
      <c r="P49" s="13" t="n"/>
      <c r="Q49" s="13" t="n"/>
      <c r="R49" s="13" t="n"/>
      <c r="S49" s="13" t="n"/>
      <c r="T49" s="13" t="n"/>
      <c r="U49" s="35" t="n"/>
    </row>
    <row r="50" ht="15" customFormat="1" customHeight="1" s="297">
      <c r="A50" s="38" t="n"/>
      <c r="B50" s="22" t="n"/>
      <c r="C50" s="13" t="n"/>
      <c r="D50" s="13" t="n"/>
      <c r="E50" s="13" t="n"/>
      <c r="F50" s="13" t="n"/>
      <c r="G50" s="9" t="n"/>
      <c r="H50" s="9" t="n"/>
      <c r="I50" s="9" t="n"/>
      <c r="J50" s="9" t="n"/>
      <c r="K50" s="9" t="n"/>
      <c r="L50" s="12" t="n"/>
      <c r="M50" s="13" t="n"/>
      <c r="N50" s="396" t="n"/>
      <c r="O50" s="396" t="n"/>
      <c r="P50" s="13" t="n"/>
      <c r="Q50" s="13" t="n"/>
      <c r="R50" s="13" t="n"/>
      <c r="S50" s="13" t="n"/>
      <c r="T50" s="13" t="n"/>
      <c r="U50" s="35" t="n"/>
    </row>
    <row r="51" ht="15" customFormat="1" customHeight="1" s="297" thickBot="1">
      <c r="A51" s="38" t="n"/>
      <c r="B51" s="22" t="n"/>
      <c r="C51" s="9" t="n"/>
      <c r="D51" s="9" t="n"/>
      <c r="E51" s="9" t="inlineStr">
        <is>
          <t xml:space="preserve">Pressure Calibrator Used. </t>
        </is>
      </c>
      <c r="F51" s="256" t="inlineStr">
        <is>
          <t>DEVT No.</t>
        </is>
      </c>
      <c r="G51" s="397" t="n"/>
      <c r="H51" s="256" t="inlineStr">
        <is>
          <t>Make / Model</t>
        </is>
      </c>
      <c r="I51" s="397" t="n"/>
      <c r="J51" s="397" t="n"/>
      <c r="K51" s="256" t="inlineStr">
        <is>
          <t>Serial Number</t>
        </is>
      </c>
      <c r="L51" s="397" t="n"/>
      <c r="M51" s="397" t="n"/>
      <c r="N51" s="256" t="inlineStr">
        <is>
          <t>Calibration Next Due</t>
        </is>
      </c>
      <c r="O51" s="397" t="n"/>
      <c r="P51" s="397" t="n"/>
      <c r="Q51" s="13" t="n"/>
      <c r="R51" s="13" t="n"/>
      <c r="S51" s="13" t="n"/>
      <c r="T51" s="13" t="n"/>
      <c r="U51" s="35" t="n"/>
    </row>
    <row r="52" ht="15" customFormat="1" customHeight="1" s="297">
      <c r="A52" s="38" t="n"/>
      <c r="B52" s="22" t="n"/>
      <c r="C52" s="13" t="n"/>
      <c r="D52" s="13" t="n"/>
      <c r="E52" s="88" t="inlineStr">
        <is>
          <t xml:space="preserve">Range A. </t>
        </is>
      </c>
      <c r="F52" s="398" t="inlineStr">
        <is>
          <t>DEVT 892</t>
        </is>
      </c>
      <c r="G52" s="399" t="n"/>
      <c r="H52" s="400" t="inlineStr">
        <is>
          <t>Intelligent Automated Pressure Calibrator</t>
        </is>
      </c>
      <c r="I52" s="401" t="n"/>
      <c r="J52" s="399" t="n"/>
      <c r="K52" s="402" t="inlineStr">
        <is>
          <t>811AG22040080</t>
        </is>
      </c>
      <c r="L52" s="401" t="n"/>
      <c r="M52" s="399" t="n"/>
      <c r="N52" s="403" t="n">
        <v>45303</v>
      </c>
      <c r="O52" s="401" t="n"/>
      <c r="P52" s="404" t="n"/>
      <c r="Q52" s="396" t="n"/>
      <c r="R52" s="396" t="inlineStr">
        <is>
          <t>Where</t>
        </is>
      </c>
      <c r="S52" s="89" t="inlineStr">
        <is>
          <t>set point</t>
        </is>
      </c>
      <c r="T52" s="13" t="inlineStr">
        <is>
          <t>are the</t>
        </is>
      </c>
      <c r="U52" s="35" t="n"/>
    </row>
    <row r="53" ht="15" customFormat="1" customHeight="1" s="297">
      <c r="A53" s="38" t="n"/>
      <c r="B53" s="22" t="n"/>
      <c r="C53" s="13" t="n"/>
      <c r="D53" s="13" t="n"/>
      <c r="E53" s="88" t="inlineStr">
        <is>
          <t xml:space="preserve">Range B. </t>
        </is>
      </c>
      <c r="F53" s="405" t="n"/>
      <c r="G53" s="406" t="n"/>
      <c r="H53" s="407" t="n"/>
      <c r="I53" s="408" t="n"/>
      <c r="J53" s="406" t="n"/>
      <c r="K53" s="409" t="n"/>
      <c r="L53" s="408" t="n"/>
      <c r="M53" s="406" t="n"/>
      <c r="N53" s="410" t="n"/>
      <c r="O53" s="408" t="n"/>
      <c r="P53" s="411" t="n"/>
      <c r="Q53" s="13" t="n"/>
      <c r="R53" s="13" t="n"/>
      <c r="S53" s="22" t="inlineStr">
        <is>
          <t>calibration points.</t>
        </is>
      </c>
      <c r="T53" s="12" t="n"/>
      <c r="U53" s="35" t="n"/>
    </row>
    <row r="54" ht="15" customFormat="1" customHeight="1" s="297" thickBot="1">
      <c r="A54" s="38" t="n"/>
      <c r="B54" s="22" t="n"/>
      <c r="C54" s="13" t="n"/>
      <c r="D54" s="13" t="n"/>
      <c r="E54" s="88" t="inlineStr">
        <is>
          <t xml:space="preserve">Range C. </t>
        </is>
      </c>
      <c r="F54" s="412" t="n"/>
      <c r="G54" s="413" t="n"/>
      <c r="H54" s="414" t="n"/>
      <c r="I54" s="415" t="n"/>
      <c r="J54" s="413" t="n"/>
      <c r="K54" s="416" t="n"/>
      <c r="L54" s="415" t="n"/>
      <c r="M54" s="413" t="n"/>
      <c r="N54" s="417" t="n"/>
      <c r="O54" s="415" t="n"/>
      <c r="P54" s="418" t="n"/>
      <c r="Q54" s="9" t="n"/>
      <c r="R54" s="9" t="n"/>
      <c r="S54" s="13" t="n"/>
      <c r="T54" s="13" t="n"/>
      <c r="U54" s="35" t="n"/>
    </row>
    <row r="55" ht="15" customFormat="1" customHeight="1" s="297" thickBot="1">
      <c r="A55" s="90" t="n"/>
      <c r="B55" s="91" t="n"/>
      <c r="C55" s="91" t="n"/>
      <c r="D55" s="91" t="n"/>
      <c r="E55" s="91" t="n"/>
      <c r="F55" s="91" t="n"/>
      <c r="G55" s="91" t="n"/>
      <c r="H55" s="91" t="n"/>
      <c r="I55" s="91" t="n"/>
      <c r="J55" s="91" t="n"/>
      <c r="K55" s="91" t="n"/>
      <c r="L55" s="91" t="n"/>
      <c r="M55" s="91" t="n"/>
      <c r="N55" s="91" t="n"/>
      <c r="O55" s="91" t="n"/>
      <c r="P55" s="92" t="n"/>
      <c r="Q55" s="91" t="n"/>
      <c r="R55" s="91" t="n"/>
      <c r="S55" s="91" t="n"/>
      <c r="T55" s="91" t="n"/>
      <c r="U55" s="39" t="n"/>
    </row>
    <row r="56" ht="15" customFormat="1" customHeight="1" s="297" thickTop="1">
      <c r="A56" s="31" t="n"/>
      <c r="B56" s="32" t="n"/>
      <c r="C56" s="32" t="n"/>
      <c r="D56" s="32" t="n"/>
      <c r="E56" s="32" t="n"/>
      <c r="F56" s="32" t="n"/>
      <c r="G56" s="32" t="n"/>
      <c r="H56" s="32" t="n"/>
      <c r="I56" s="32" t="n"/>
      <c r="J56" s="45" t="n"/>
      <c r="K56" s="45" t="n"/>
      <c r="L56" s="45" t="n"/>
      <c r="M56" s="45" t="n"/>
      <c r="N56" s="45" t="n"/>
      <c r="O56" s="45" t="n"/>
      <c r="P56" s="45" t="n"/>
      <c r="Q56" s="45" t="n"/>
      <c r="R56" s="45" t="n"/>
      <c r="S56" s="45" t="n"/>
      <c r="T56" s="45" t="n"/>
      <c r="U56" s="75" t="n"/>
    </row>
    <row r="57" ht="15" customFormat="1" customHeight="1" s="297">
      <c r="A57" s="375" t="inlineStr">
        <is>
          <t>Test Bed Pressure Measurement Calibration</t>
        </is>
      </c>
      <c r="B57" s="366" t="n"/>
      <c r="C57" s="366" t="n"/>
      <c r="D57" s="366" t="n"/>
      <c r="E57" s="366" t="n"/>
      <c r="F57" s="366" t="n"/>
      <c r="G57" s="366" t="n"/>
      <c r="H57" s="366" t="n"/>
      <c r="I57" s="366" t="n"/>
      <c r="J57" s="366" t="n"/>
      <c r="K57" s="366" t="n"/>
      <c r="L57" s="366" t="n"/>
      <c r="M57" s="366" t="n"/>
      <c r="N57" s="366" t="n"/>
      <c r="O57" s="366" t="n"/>
      <c r="P57" s="366" t="n"/>
      <c r="Q57" s="366" t="n"/>
      <c r="R57" s="366" t="n"/>
      <c r="S57" s="366" t="n"/>
      <c r="T57" s="366" t="n"/>
      <c r="U57" s="376" t="n"/>
    </row>
    <row r="58" ht="15" customFormat="1" customHeight="1" s="297" thickBot="1">
      <c r="A58" s="33" t="n"/>
      <c r="B58" s="10" t="n"/>
      <c r="C58" s="11" t="n"/>
      <c r="D58" s="11" t="n"/>
      <c r="E58" s="11" t="n"/>
      <c r="F58" s="11" t="n"/>
      <c r="G58" s="11" t="n"/>
      <c r="H58" s="10" t="n"/>
      <c r="I58" s="76" t="n"/>
      <c r="J58" s="10" t="n"/>
      <c r="K58" s="10" t="n"/>
      <c r="L58" s="10" t="n"/>
      <c r="M58" s="10" t="n"/>
      <c r="N58" s="10" t="n"/>
      <c r="O58" s="10" t="n"/>
      <c r="P58" s="10" t="n"/>
      <c r="Q58" s="10" t="n"/>
      <c r="R58" s="10" t="n"/>
      <c r="S58" s="10" t="n"/>
      <c r="T58" s="10" t="n"/>
      <c r="U58" s="34" t="n"/>
    </row>
    <row r="59" ht="15" customFormat="1" customHeight="1" s="297" thickBot="1">
      <c r="A59" s="33" t="n"/>
      <c r="B59" s="9" t="inlineStr">
        <is>
          <t xml:space="preserve">Job No. </t>
        </is>
      </c>
      <c r="C59" s="153">
        <f>Title!C4</f>
        <v/>
      </c>
      <c r="D59" s="23" t="n"/>
      <c r="E59" s="145" t="n"/>
      <c r="F59" s="10" t="n"/>
      <c r="G59" s="9" t="inlineStr">
        <is>
          <t xml:space="preserve">Calibrated By. </t>
        </is>
      </c>
      <c r="H59" s="377">
        <f>Title!C3</f>
        <v/>
      </c>
      <c r="I59" s="378" t="n"/>
      <c r="J59" s="10" t="n"/>
      <c r="K59" s="10" t="n"/>
      <c r="L59" s="9" t="inlineStr">
        <is>
          <t xml:space="preserve">Calibration Date. </t>
        </is>
      </c>
      <c r="M59" s="379">
        <f>Title!C9</f>
        <v/>
      </c>
      <c r="N59" s="380" t="n"/>
      <c r="O59" s="378" t="n"/>
      <c r="P59" s="12" t="n"/>
      <c r="Q59" s="9" t="n"/>
      <c r="R59" s="9" t="inlineStr">
        <is>
          <t xml:space="preserve">Bed No. </t>
        </is>
      </c>
      <c r="S59" s="381">
        <f>Title!F3</f>
        <v/>
      </c>
      <c r="T59" s="378" t="n"/>
      <c r="U59" s="77" t="n"/>
    </row>
    <row r="60" ht="15" customFormat="1" customHeight="1" s="297">
      <c r="A60" s="33" t="n"/>
      <c r="B60" s="10" t="n"/>
      <c r="C60" s="11" t="n"/>
      <c r="D60" s="11" t="n"/>
      <c r="E60" s="11" t="n"/>
      <c r="F60" s="9" t="n"/>
      <c r="G60" s="11" t="n"/>
      <c r="H60" s="9" t="n"/>
      <c r="I60" s="9" t="n"/>
      <c r="J60" s="12" t="n"/>
      <c r="K60" s="12" t="n"/>
      <c r="L60" s="12" t="n"/>
      <c r="M60" s="12" t="n"/>
      <c r="N60" s="10" t="n"/>
      <c r="O60" s="12" t="n"/>
      <c r="P60" s="12" t="n"/>
      <c r="Q60" s="12" t="n"/>
      <c r="R60" s="12" t="n"/>
      <c r="S60" s="12" t="n"/>
      <c r="T60" s="12" t="n"/>
      <c r="U60" s="35" t="n"/>
    </row>
    <row r="61" ht="15" customFormat="1" customHeight="1" s="297">
      <c r="A61" s="36" t="inlineStr">
        <is>
          <t>Acceptable Deviation: 0.2% Full Scale.  Adjust if error &gt;80% accepted tolerance.</t>
        </is>
      </c>
      <c r="B61" s="11" t="n"/>
      <c r="C61" s="11" t="n"/>
      <c r="D61" s="11" t="n"/>
      <c r="E61" s="11" t="n"/>
      <c r="F61" s="11" t="n"/>
      <c r="G61" s="78" t="n"/>
      <c r="H61" s="78" t="n"/>
      <c r="I61" s="78" t="n"/>
      <c r="J61" s="11" t="n"/>
      <c r="K61" s="11" t="n"/>
      <c r="L61" s="11" t="n"/>
      <c r="M61" s="11" t="n"/>
      <c r="N61" s="11" t="n"/>
      <c r="O61" s="11" t="n"/>
      <c r="P61" s="11" t="n"/>
      <c r="Q61" s="11" t="n"/>
      <c r="R61" s="11" t="n"/>
      <c r="S61" s="11" t="n"/>
      <c r="T61" s="11" t="n"/>
      <c r="U61" s="37" t="n"/>
    </row>
    <row r="62" ht="15" customFormat="1" customHeight="1" s="297" thickBot="1">
      <c r="A62" s="33" t="n"/>
      <c r="B62" s="76" t="n"/>
      <c r="C62" s="76" t="n"/>
      <c r="D62" s="76" t="n"/>
      <c r="E62" s="76" t="n"/>
      <c r="F62" s="76" t="n"/>
      <c r="G62" s="76" t="n"/>
      <c r="H62" s="76" t="n"/>
      <c r="I62" s="76" t="n"/>
      <c r="J62" s="76" t="n"/>
      <c r="K62" s="76" t="n"/>
      <c r="L62" s="12" t="n"/>
      <c r="M62" s="12" t="n"/>
      <c r="N62" s="12" t="n"/>
      <c r="O62" s="12" t="n"/>
      <c r="P62" s="12" t="n"/>
      <c r="Q62" s="12" t="n"/>
      <c r="R62" s="12" t="n"/>
      <c r="S62" s="12" t="n"/>
      <c r="T62" s="12" t="n"/>
      <c r="U62" s="35" t="n"/>
    </row>
    <row r="63" ht="15" customFormat="1" customHeight="1" s="297" thickBot="1">
      <c r="A63" s="33" t="n"/>
      <c r="B63" s="24" t="inlineStr">
        <is>
          <t>Channel No.</t>
        </is>
      </c>
      <c r="C63" s="24" t="inlineStr">
        <is>
          <t>Channel Name</t>
        </is>
      </c>
      <c r="D63" s="79" t="inlineStr">
        <is>
          <t>Range Min</t>
        </is>
      </c>
      <c r="E63" s="79" t="inlineStr">
        <is>
          <t>Range Max</t>
        </is>
      </c>
      <c r="F63" s="382" t="inlineStr">
        <is>
          <t>Pre-Calibration Set Points</t>
        </is>
      </c>
      <c r="G63" s="383" t="n"/>
      <c r="H63" s="383" t="n"/>
      <c r="I63" s="383" t="n"/>
      <c r="J63" s="384" t="n"/>
      <c r="K63" s="24" t="inlineStr">
        <is>
          <t>Result</t>
        </is>
      </c>
      <c r="L63" s="80" t="inlineStr">
        <is>
          <t>PC Used</t>
        </is>
      </c>
      <c r="M63" s="382" t="inlineStr">
        <is>
          <t>Post-Calibration Set Points</t>
        </is>
      </c>
      <c r="N63" s="383" t="n"/>
      <c r="O63" s="383" t="n"/>
      <c r="P63" s="383" t="n"/>
      <c r="Q63" s="384" t="n"/>
      <c r="R63" s="24" t="inlineStr">
        <is>
          <t>Units</t>
        </is>
      </c>
      <c r="S63" s="81" t="inlineStr">
        <is>
          <t>Tolerance</t>
        </is>
      </c>
      <c r="T63" s="24" t="inlineStr">
        <is>
          <t>Transducer Serial No.</t>
        </is>
      </c>
      <c r="U63" s="35" t="n"/>
    </row>
    <row r="64" ht="15" customFormat="1" customHeight="1" s="297" thickBot="1">
      <c r="A64" s="33" t="n"/>
      <c r="B64" s="247" t="n">
        <v>61</v>
      </c>
      <c r="C64" s="247" t="inlineStr">
        <is>
          <t>PTX 61</t>
        </is>
      </c>
      <c r="D64" s="247" t="n">
        <v>0</v>
      </c>
      <c r="E64" s="385" t="n">
        <v>300</v>
      </c>
      <c r="F64" s="126">
        <f>IF(AND(D64&lt;0,E64=0)=TRUE,0.98*D64,IF(AND(D64=0,E64&gt;0)=TRUE,0,IF(D64=-E64,0.98*D64,IF(AND(D64=-20,E64=100)=TRUE,0.98*D64,IF(AND(D64=-35,E64=300)=TRUE,0.98*D64,IF(AND(D64=-100,E64=160)=TRUE,80,IF(AND(D64=-100,E64=900)=TRUE,80,"x")))))))</f>
        <v/>
      </c>
      <c r="G64" s="82">
        <f>IF(AND(D64&lt;0,E64=0)=TRUE,0.75*D64,IF(AND(D64=0,E64&gt;0)=TRUE,0.25*E64,IF(D64=-E64,0.5*D64,IF(AND(D64=-20,E64=100)=TRUE,0,IF(AND(D64=-35,E64=300)=TRUE,0,IF(AND(D64=-100,E64=160)=TRUE,0,IF(AND(D64=-100,E64=900)=TRUE,0,"x")))))))</f>
        <v/>
      </c>
      <c r="H64" s="82">
        <f>IF(AND(D64&lt;0,E64=0)=TRUE,0.5*D64,IF(AND(D64=0,E64&gt;0)=TRUE,0.5*E64,IF(D64=-E64,0,IF(AND(D64=-20,E64=100)=TRUE,0.33*E64,IF(AND(D64=-35,E64=300)=TRUE,0.33*E64,IF(AND(D64=-100,E64=160)=TRUE,0.33*E64,IF(AND(D64=-100,E64=900)=TRUE,0.33*E64,"x")))))))</f>
        <v/>
      </c>
      <c r="I64" s="82">
        <f>IF(AND(D64&lt;0,E64=0)=TRUE,0.25*D64,IF(AND(D64=0,E64&gt;0)=TRUE,0.75*E64,IF(D64=-E64,0.5*E64,IF(AND(D64=-20,E64=100)=TRUE,0.66*E64,IF(AND(D64=-35,E64=300)=TRUE,0.66*E64,IF(AND(D64=-100,E64=160)=TRUE,0.66*E64,IF(AND(D64=-100,E64=900)=TRUE,0.66*E64,"x")))))))</f>
        <v/>
      </c>
      <c r="J64" s="83">
        <f>IF(AND(D64&lt;0,E64=0)=TRUE,0*D64,IF(AND(D64=0,E64&gt;0)=TRUE,0.98*E64,IF(D64=-E64,0.98*E64,IF(AND(D64=-20,E64=100)=TRUE,0.98*E64,IF(AND(D64=-35,E64=300)=TRUE,0.98*E64,IF(AND(D64=-100,E64=160)=TRUE,0.98*E64,IF(AND(D64=-100,E64=900)=TRUE,0.98*E64,"x")))))))</f>
        <v/>
      </c>
      <c r="K64" s="386" t="inlineStr">
        <is>
          <t>Fail</t>
        </is>
      </c>
      <c r="L64" s="387" t="inlineStr">
        <is>
          <t>-</t>
        </is>
      </c>
      <c r="M64" s="84">
        <f>F64</f>
        <v/>
      </c>
      <c r="N64" s="85">
        <f>G64</f>
        <v/>
      </c>
      <c r="O64" s="86">
        <f>H64</f>
        <v/>
      </c>
      <c r="P64" s="85">
        <f>I64</f>
        <v/>
      </c>
      <c r="Q64" s="87">
        <f>J64</f>
        <v/>
      </c>
      <c r="R64" s="388" t="inlineStr">
        <is>
          <t>kPa</t>
        </is>
      </c>
      <c r="S64" s="389">
        <f>IF(D64&lt;E64,(E64-D64)*0.002,"x")</f>
        <v/>
      </c>
      <c r="T64" s="388" t="n">
        <v>3597281</v>
      </c>
      <c r="U64" s="35" t="n"/>
    </row>
    <row r="65" ht="15" customFormat="1" customHeight="1" s="297" thickBot="1">
      <c r="A65" s="33" t="n"/>
      <c r="B65" s="390" t="n"/>
      <c r="C65" s="390" t="n"/>
      <c r="D65" s="390" t="n"/>
      <c r="E65" s="391" t="n"/>
      <c r="F65" s="392" t="n">
        <v>-0.22</v>
      </c>
      <c r="G65" s="393" t="n">
        <v>74.83</v>
      </c>
      <c r="H65" s="393" t="n">
        <v>149.86</v>
      </c>
      <c r="I65" s="393" t="n">
        <v>226.23</v>
      </c>
      <c r="J65" s="394" t="n">
        <v>298.92</v>
      </c>
      <c r="K65" s="390" t="n"/>
      <c r="L65" s="390" t="n"/>
      <c r="M65" s="392" t="n">
        <v>-0.01</v>
      </c>
      <c r="N65" s="393" t="n">
        <v>74.95999999999999</v>
      </c>
      <c r="O65" s="393" t="n">
        <v>149.96</v>
      </c>
      <c r="P65" s="393" t="n">
        <v>224.98</v>
      </c>
      <c r="Q65" s="394" t="n">
        <v>294</v>
      </c>
      <c r="R65" s="390" t="n"/>
      <c r="S65" s="395" t="n"/>
      <c r="T65" s="390" t="n"/>
      <c r="U65" s="35" t="n"/>
    </row>
    <row r="66" ht="15" customFormat="1" customHeight="1" s="297" thickBot="1">
      <c r="A66" s="33" t="n"/>
      <c r="B66" s="247" t="n">
        <v>62</v>
      </c>
      <c r="C66" s="247" t="inlineStr">
        <is>
          <t>PTX 62</t>
        </is>
      </c>
      <c r="D66" s="247" t="n">
        <v>0</v>
      </c>
      <c r="E66" s="385" t="n">
        <v>300</v>
      </c>
      <c r="F66" s="126">
        <f>IF(AND(D66&lt;0,E66=0)=TRUE,0.98*D66,IF(AND(D66=0,E66&gt;0)=TRUE,0,IF(D66=-E66,0.98*D66,IF(AND(D66=-20,E66=100)=TRUE,0.98*D66,IF(AND(D66=-35,E66=300)=TRUE,0.98*D66,IF(AND(D66=-100,E66=160)=TRUE,80,IF(AND(D66=-100,E66=900)=TRUE,80,"x")))))))</f>
        <v/>
      </c>
      <c r="G66" s="82">
        <f>IF(AND(D66&lt;0,E66=0)=TRUE,0.75*D66,IF(AND(D66=0,E66&gt;0)=TRUE,0.25*E66,IF(D66=-E66,0.5*D66,IF(AND(D66=-20,E66=100)=TRUE,0,IF(AND(D66=-35,E66=300)=TRUE,0,IF(AND(D66=-100,E66=160)=TRUE,0,IF(AND(D66=-100,E66=900)=TRUE,0,"x")))))))</f>
        <v/>
      </c>
      <c r="H66" s="82">
        <f>IF(AND(D66&lt;0,E66=0)=TRUE,0.5*D66,IF(AND(D66=0,E66&gt;0)=TRUE,0.5*E66,IF(D66=-E66,0,IF(AND(D66=-20,E66=100)=TRUE,0.33*E66,IF(AND(D66=-35,E66=300)=TRUE,0.33*E66,IF(AND(D66=-100,E66=160)=TRUE,0.33*E66,IF(AND(D66=-100,E66=900)=TRUE,0.33*E66,"x")))))))</f>
        <v/>
      </c>
      <c r="I66" s="82">
        <f>IF(AND(D66&lt;0,E66=0)=TRUE,0.25*D66,IF(AND(D66=0,E66&gt;0)=TRUE,0.75*E66,IF(D66=-E66,0.5*E66,IF(AND(D66=-20,E66=100)=TRUE,0.66*E66,IF(AND(D66=-35,E66=300)=TRUE,0.66*E66,IF(AND(D66=-100,E66=160)=TRUE,0.66*E66,IF(AND(D66=-100,E66=900)=TRUE,0.66*E66,"x")))))))</f>
        <v/>
      </c>
      <c r="J66" s="83">
        <f>IF(AND(D66&lt;0,E66=0)=TRUE,0*D66,IF(AND(D66=0,E66&gt;0)=TRUE,0.98*E66,IF(D66=-E66,0.98*E66,IF(AND(D66=-20,E66=100)=TRUE,0.98*E66,IF(AND(D66=-35,E66=300)=TRUE,0.98*E66,IF(AND(D66=-100,E66=160)=TRUE,0.98*E66,IF(AND(D66=-100,E66=900)=TRUE,0.98*E66,"x")))))))</f>
        <v/>
      </c>
      <c r="K66" s="386" t="inlineStr">
        <is>
          <t>Pass</t>
        </is>
      </c>
      <c r="L66" s="387" t="inlineStr">
        <is>
          <t>-</t>
        </is>
      </c>
      <c r="M66" s="84">
        <f>F66</f>
        <v/>
      </c>
      <c r="N66" s="85">
        <f>G66</f>
        <v/>
      </c>
      <c r="O66" s="86">
        <f>H66</f>
        <v/>
      </c>
      <c r="P66" s="85">
        <f>I66</f>
        <v/>
      </c>
      <c r="Q66" s="87">
        <f>J66</f>
        <v/>
      </c>
      <c r="R66" s="388" t="inlineStr">
        <is>
          <t>kPa</t>
        </is>
      </c>
      <c r="S66" s="389">
        <f>IF(D66&lt;E66,(E66-D66)*0.002,"x")</f>
        <v/>
      </c>
      <c r="T66" s="388" t="n">
        <v>3593449</v>
      </c>
      <c r="U66" s="35" t="n"/>
    </row>
    <row r="67" ht="15" customFormat="1" customHeight="1" s="297" thickBot="1">
      <c r="A67" s="33" t="n"/>
      <c r="B67" s="390" t="n"/>
      <c r="C67" s="390" t="n"/>
      <c r="D67" s="390" t="n"/>
      <c r="E67" s="391" t="n"/>
      <c r="F67" s="392" t="n">
        <v>0</v>
      </c>
      <c r="G67" s="393" t="n">
        <v>75.29000000000001</v>
      </c>
      <c r="H67" s="393" t="n">
        <v>150.38</v>
      </c>
      <c r="I67" s="393" t="n">
        <v>225.35</v>
      </c>
      <c r="J67" s="394" t="n">
        <v>294.3</v>
      </c>
      <c r="K67" s="390" t="n"/>
      <c r="L67" s="390" t="n"/>
      <c r="M67" s="392" t="n">
        <v>0.01</v>
      </c>
      <c r="N67" s="393" t="n">
        <v>75.03</v>
      </c>
      <c r="O67" s="393" t="n">
        <v>150.03</v>
      </c>
      <c r="P67" s="393" t="n">
        <v>225.03</v>
      </c>
      <c r="Q67" s="394" t="n">
        <v>294.01</v>
      </c>
      <c r="R67" s="390" t="n"/>
      <c r="S67" s="395" t="n"/>
      <c r="T67" s="390" t="n"/>
      <c r="U67" s="35" t="n"/>
    </row>
    <row r="68" ht="15" customFormat="1" customHeight="1" s="297" thickBot="1">
      <c r="A68" s="38" t="n"/>
      <c r="B68" s="247" t="n">
        <v>63</v>
      </c>
      <c r="C68" s="247" t="inlineStr">
        <is>
          <t>PTX 63</t>
        </is>
      </c>
      <c r="D68" s="247" t="n">
        <v>0</v>
      </c>
      <c r="E68" s="385" t="n">
        <v>300</v>
      </c>
      <c r="F68" s="126">
        <f>IF(AND(D68&lt;0,E68=0)=TRUE,0.98*D68,IF(AND(D68=0,E68&gt;0)=TRUE,0,IF(D68=-E68,0.98*D68,IF(AND(D68=-20,E68=100)=TRUE,0.98*D68,IF(AND(D68=-35,E68=300)=TRUE,0.98*D68,IF(AND(D68=-100,E68=160)=TRUE,80,IF(AND(D68=-100,E68=900)=TRUE,80,"x")))))))</f>
        <v/>
      </c>
      <c r="G68" s="82">
        <f>IF(AND(D68&lt;0,E68=0)=TRUE,0.75*D68,IF(AND(D68=0,E68&gt;0)=TRUE,0.25*E68,IF(D68=-E68,0.5*D68,IF(AND(D68=-20,E68=100)=TRUE,0,IF(AND(D68=-35,E68=300)=TRUE,0,IF(AND(D68=-100,E68=160)=TRUE,0,IF(AND(D68=-100,E68=900)=TRUE,0,"x")))))))</f>
        <v/>
      </c>
      <c r="H68" s="82">
        <f>IF(AND(D68&lt;0,E68=0)=TRUE,0.5*D68,IF(AND(D68=0,E68&gt;0)=TRUE,0.5*E68,IF(D68=-E68,0,IF(AND(D68=-20,E68=100)=TRUE,0.33*E68,IF(AND(D68=-35,E68=300)=TRUE,0.33*E68,IF(AND(D68=-100,E68=160)=TRUE,0.33*E68,IF(AND(D68=-100,E68=900)=TRUE,0.33*E68,"x")))))))</f>
        <v/>
      </c>
      <c r="I68" s="82">
        <f>IF(AND(D68&lt;0,E68=0)=TRUE,0.25*D68,IF(AND(D68=0,E68&gt;0)=TRUE,0.75*E68,IF(D68=-E68,0.5*E68,IF(AND(D68=-20,E68=100)=TRUE,0.66*E68,IF(AND(D68=-35,E68=300)=TRUE,0.66*E68,IF(AND(D68=-100,E68=160)=TRUE,0.66*E68,IF(AND(D68=-100,E68=900)=TRUE,0.66*E68,"x")))))))</f>
        <v/>
      </c>
      <c r="J68" s="83">
        <f>IF(AND(D68&lt;0,E68=0)=TRUE,0*D68,IF(AND(D68=0,E68&gt;0)=TRUE,0.98*E68,IF(D68=-E68,0.98*E68,IF(AND(D68=-20,E68=100)=TRUE,0.98*E68,IF(AND(D68=-35,E68=300)=TRUE,0.98*E68,IF(AND(D68=-100,E68=160)=TRUE,0.98*E68,IF(AND(D68=-100,E68=900)=TRUE,0.98*E68,"x")))))))</f>
        <v/>
      </c>
      <c r="K68" s="386" t="inlineStr">
        <is>
          <t>Pass</t>
        </is>
      </c>
      <c r="L68" s="387" t="inlineStr">
        <is>
          <t>-</t>
        </is>
      </c>
      <c r="M68" s="84">
        <f>F68</f>
        <v/>
      </c>
      <c r="N68" s="85">
        <f>G68</f>
        <v/>
      </c>
      <c r="O68" s="86">
        <f>H68</f>
        <v/>
      </c>
      <c r="P68" s="85">
        <f>I68</f>
        <v/>
      </c>
      <c r="Q68" s="87">
        <f>J68</f>
        <v/>
      </c>
      <c r="R68" s="388" t="inlineStr">
        <is>
          <t>kPa</t>
        </is>
      </c>
      <c r="S68" s="389">
        <f>IF(D68&lt;E68,(E68-D68)*0.002,"x")</f>
        <v/>
      </c>
      <c r="T68" s="388" t="n">
        <v>3597290</v>
      </c>
      <c r="U68" s="35" t="n"/>
    </row>
    <row r="69" ht="15" customFormat="1" customHeight="1" s="297" thickBot="1">
      <c r="A69" s="38" t="n"/>
      <c r="B69" s="390" t="n"/>
      <c r="C69" s="390" t="n"/>
      <c r="D69" s="390" t="n"/>
      <c r="E69" s="391" t="n"/>
      <c r="F69" s="392" t="n">
        <v>-0.3</v>
      </c>
      <c r="G69" s="393" t="n">
        <v>74.84</v>
      </c>
      <c r="H69" s="393" t="n">
        <v>149.96</v>
      </c>
      <c r="I69" s="393" t="n">
        <v>225</v>
      </c>
      <c r="J69" s="394" t="n">
        <v>294</v>
      </c>
      <c r="K69" s="390" t="n"/>
      <c r="L69" s="390" t="n"/>
      <c r="M69" s="392" t="n">
        <v>0</v>
      </c>
      <c r="N69" s="393" t="n">
        <v>74.95999999999999</v>
      </c>
      <c r="O69" s="393" t="n">
        <v>149.96</v>
      </c>
      <c r="P69" s="393" t="n">
        <v>224.98</v>
      </c>
      <c r="Q69" s="394" t="n">
        <v>294</v>
      </c>
      <c r="R69" s="390" t="n"/>
      <c r="S69" s="395" t="n"/>
      <c r="T69" s="390" t="n"/>
      <c r="U69" s="35" t="n"/>
    </row>
    <row r="70" ht="15" customFormat="1" customHeight="1" s="297" thickBot="1">
      <c r="A70" s="38" t="n"/>
      <c r="B70" s="247" t="n">
        <v>64</v>
      </c>
      <c r="C70" s="247" t="inlineStr">
        <is>
          <t>PTX 64</t>
        </is>
      </c>
      <c r="D70" s="247" t="n">
        <v>0</v>
      </c>
      <c r="E70" s="385" t="n">
        <v>300</v>
      </c>
      <c r="F70" s="126">
        <f>IF(AND(D70&lt;0,E70=0)=TRUE,0.98*D70,IF(AND(D70=0,E70&gt;0)=TRUE,0,IF(D70=-E70,0.98*D70,IF(AND(D70=-20,E70=100)=TRUE,0.98*D70,IF(AND(D70=-35,E70=300)=TRUE,0.98*D70,IF(AND(D70=-100,E70=160)=TRUE,80,IF(AND(D70=-100,E70=900)=TRUE,80,"x")))))))</f>
        <v/>
      </c>
      <c r="G70" s="82">
        <f>IF(AND(D70&lt;0,E70=0)=TRUE,0.75*D70,IF(AND(D70=0,E70&gt;0)=TRUE,0.25*E70,IF(D70=-E70,0.5*D70,IF(AND(D70=-20,E70=100)=TRUE,0,IF(AND(D70=-35,E70=300)=TRUE,0,IF(AND(D70=-100,E70=160)=TRUE,0,IF(AND(D70=-100,E70=900)=TRUE,0,"x")))))))</f>
        <v/>
      </c>
      <c r="H70" s="82">
        <f>IF(AND(D70&lt;0,E70=0)=TRUE,0.5*D70,IF(AND(D70=0,E70&gt;0)=TRUE,0.5*E70,IF(D70=-E70,0,IF(AND(D70=-20,E70=100)=TRUE,0.33*E70,IF(AND(D70=-35,E70=300)=TRUE,0.33*E70,IF(AND(D70=-100,E70=160)=TRUE,0.33*E70,IF(AND(D70=-100,E70=900)=TRUE,0.33*E70,"x")))))))</f>
        <v/>
      </c>
      <c r="I70" s="82">
        <f>IF(AND(D70&lt;0,E70=0)=TRUE,0.25*D70,IF(AND(D70=0,E70&gt;0)=TRUE,0.75*E70,IF(D70=-E70,0.5*E70,IF(AND(D70=-20,E70=100)=TRUE,0.66*E70,IF(AND(D70=-35,E70=300)=TRUE,0.66*E70,IF(AND(D70=-100,E70=160)=TRUE,0.66*E70,IF(AND(D70=-100,E70=900)=TRUE,0.66*E70,"x")))))))</f>
        <v/>
      </c>
      <c r="J70" s="83">
        <f>IF(AND(D70&lt;0,E70=0)=TRUE,0*D70,IF(AND(D70=0,E70&gt;0)=TRUE,0.98*E70,IF(D70=-E70,0.98*E70,IF(AND(D70=-20,E70=100)=TRUE,0.98*E70,IF(AND(D70=-35,E70=300)=TRUE,0.98*E70,IF(AND(D70=-100,E70=160)=TRUE,0.98*E70,IF(AND(D70=-100,E70=900)=TRUE,0.98*E70,"x")))))))</f>
        <v/>
      </c>
      <c r="K70" s="386" t="inlineStr">
        <is>
          <t>Pass</t>
        </is>
      </c>
      <c r="L70" s="387" t="inlineStr">
        <is>
          <t>-</t>
        </is>
      </c>
      <c r="M70" s="84">
        <f>F70</f>
        <v/>
      </c>
      <c r="N70" s="85">
        <f>G70</f>
        <v/>
      </c>
      <c r="O70" s="86">
        <f>H70</f>
        <v/>
      </c>
      <c r="P70" s="85">
        <f>I70</f>
        <v/>
      </c>
      <c r="Q70" s="87">
        <f>J70</f>
        <v/>
      </c>
      <c r="R70" s="388" t="inlineStr">
        <is>
          <t>kPa</t>
        </is>
      </c>
      <c r="S70" s="389">
        <f>IF(D70&lt;E70,(E70-D70)*0.002,"x")</f>
        <v/>
      </c>
      <c r="T70" s="388" t="n"/>
      <c r="U70" s="35" t="n"/>
    </row>
    <row r="71" ht="15" customFormat="1" customHeight="1" s="297" thickBot="1">
      <c r="A71" s="38" t="n"/>
      <c r="B71" s="390" t="n"/>
      <c r="C71" s="390" t="n"/>
      <c r="D71" s="390" t="n"/>
      <c r="E71" s="391" t="n"/>
      <c r="F71" s="392" t="n"/>
      <c r="G71" s="393" t="n"/>
      <c r="H71" s="393" t="n"/>
      <c r="I71" s="393" t="n"/>
      <c r="J71" s="394" t="n"/>
      <c r="K71" s="390" t="n"/>
      <c r="L71" s="390" t="n"/>
      <c r="M71" s="392" t="n"/>
      <c r="N71" s="393" t="n"/>
      <c r="O71" s="393" t="n"/>
      <c r="P71" s="393" t="n"/>
      <c r="Q71" s="394" t="n"/>
      <c r="R71" s="390" t="n"/>
      <c r="S71" s="395" t="n"/>
      <c r="T71" s="390" t="n"/>
      <c r="U71" s="35" t="n"/>
    </row>
    <row r="72" ht="15" customFormat="1" customHeight="1" s="297" thickBot="1">
      <c r="A72" s="38" t="n"/>
      <c r="B72" s="247" t="n">
        <v>65</v>
      </c>
      <c r="C72" s="247" t="inlineStr">
        <is>
          <t>PTX 65</t>
        </is>
      </c>
      <c r="D72" s="247" t="n">
        <v>0</v>
      </c>
      <c r="E72" s="385" t="n">
        <v>300</v>
      </c>
      <c r="F72" s="126">
        <f>IF(AND(D72&lt;0,E72=0)=TRUE,0.98*D72,IF(AND(D72=0,E72&gt;0)=TRUE,0,IF(D72=-E72,0.98*D72,IF(AND(D72=-20,E72=100)=TRUE,0.98*D72,IF(AND(D72=-35,E72=300)=TRUE,0.98*D72,IF(AND(D72=-100,E72=160)=TRUE,80,IF(AND(D72=-100,E72=900)=TRUE,80,"x")))))))</f>
        <v/>
      </c>
      <c r="G72" s="82">
        <f>IF(AND(D72&lt;0,E72=0)=TRUE,0.75*D72,IF(AND(D72=0,E72&gt;0)=TRUE,0.25*E72,IF(D72=-E72,0.5*D72,IF(AND(D72=-20,E72=100)=TRUE,0,IF(AND(D72=-35,E72=300)=TRUE,0,IF(AND(D72=-100,E72=160)=TRUE,0,IF(AND(D72=-100,E72=900)=TRUE,0,"x")))))))</f>
        <v/>
      </c>
      <c r="H72" s="82">
        <f>IF(AND(D72&lt;0,E72=0)=TRUE,0.5*D72,IF(AND(D72=0,E72&gt;0)=TRUE,0.5*E72,IF(D72=-E72,0,IF(AND(D72=-20,E72=100)=TRUE,0.33*E72,IF(AND(D72=-35,E72=300)=TRUE,0.33*E72,IF(AND(D72=-100,E72=160)=TRUE,0.33*E72,IF(AND(D72=-100,E72=900)=TRUE,0.33*E72,"x")))))))</f>
        <v/>
      </c>
      <c r="I72" s="82">
        <f>IF(AND(D72&lt;0,E72=0)=TRUE,0.25*D72,IF(AND(D72=0,E72&gt;0)=TRUE,0.75*E72,IF(D72=-E72,0.5*E72,IF(AND(D72=-20,E72=100)=TRUE,0.66*E72,IF(AND(D72=-35,E72=300)=TRUE,0.66*E72,IF(AND(D72=-100,E72=160)=TRUE,0.66*E72,IF(AND(D72=-100,E72=900)=TRUE,0.66*E72,"x")))))))</f>
        <v/>
      </c>
      <c r="J72" s="83">
        <f>IF(AND(D72&lt;0,E72=0)=TRUE,0*D72,IF(AND(D72=0,E72&gt;0)=TRUE,0.98*E72,IF(D72=-E72,0.98*E72,IF(AND(D72=-20,E72=100)=TRUE,0.98*E72,IF(AND(D72=-35,E72=300)=TRUE,0.98*E72,IF(AND(D72=-100,E72=160)=TRUE,0.98*E72,IF(AND(D72=-100,E72=900)=TRUE,0.98*E72,"x")))))))</f>
        <v/>
      </c>
      <c r="K72" s="386" t="inlineStr">
        <is>
          <t>Pass</t>
        </is>
      </c>
      <c r="L72" s="387" t="inlineStr">
        <is>
          <t>-</t>
        </is>
      </c>
      <c r="M72" s="84">
        <f>F72</f>
        <v/>
      </c>
      <c r="N72" s="85">
        <f>G72</f>
        <v/>
      </c>
      <c r="O72" s="86">
        <f>H72</f>
        <v/>
      </c>
      <c r="P72" s="85">
        <f>I72</f>
        <v/>
      </c>
      <c r="Q72" s="87">
        <f>J72</f>
        <v/>
      </c>
      <c r="R72" s="388" t="inlineStr">
        <is>
          <t>kPa</t>
        </is>
      </c>
      <c r="S72" s="389">
        <f>IF(D72&lt;E72,(E72-D72)*0.002,"x")</f>
        <v/>
      </c>
      <c r="T72" s="388" t="n">
        <v>3483289</v>
      </c>
      <c r="U72" s="35" t="n"/>
    </row>
    <row r="73" ht="13" customHeight="1" thickBot="1">
      <c r="A73" s="38" t="n"/>
      <c r="B73" s="390" t="n"/>
      <c r="C73" s="390" t="n"/>
      <c r="D73" s="390" t="n"/>
      <c r="E73" s="391" t="n"/>
      <c r="F73" s="392" t="n">
        <v>-0.01</v>
      </c>
      <c r="G73" s="393" t="n">
        <v>75.26000000000001</v>
      </c>
      <c r="H73" s="393" t="n">
        <v>150.36</v>
      </c>
      <c r="I73" s="393" t="n">
        <v>225.37</v>
      </c>
      <c r="J73" s="394" t="n">
        <v>294.4</v>
      </c>
      <c r="K73" s="390" t="n"/>
      <c r="L73" s="390" t="n"/>
      <c r="M73" s="392" t="n">
        <v>0.01</v>
      </c>
      <c r="N73" s="393" t="n">
        <v>75.03</v>
      </c>
      <c r="O73" s="393" t="n">
        <v>150.03</v>
      </c>
      <c r="P73" s="393" t="n">
        <v>225.01</v>
      </c>
      <c r="Q73" s="394" t="n">
        <v>294</v>
      </c>
      <c r="R73" s="390" t="n"/>
      <c r="S73" s="395" t="n"/>
      <c r="T73" s="390" t="n"/>
      <c r="U73" s="35" t="n"/>
    </row>
    <row r="74" ht="13" customHeight="1" thickBot="1">
      <c r="A74" s="38" t="n"/>
      <c r="B74" s="247" t="n">
        <v>66</v>
      </c>
      <c r="C74" s="247" t="inlineStr">
        <is>
          <t>PTX 66</t>
        </is>
      </c>
      <c r="D74" s="247" t="n">
        <v>0</v>
      </c>
      <c r="E74" s="385" t="n">
        <v>300</v>
      </c>
      <c r="F74" s="126">
        <f>IF(AND(D74&lt;0,E74=0)=TRUE,0.98*D74,IF(AND(D74=0,E74&gt;0)=TRUE,0,IF(D74=-E74,0.98*D74,IF(AND(D74=-20,E74=100)=TRUE,0.98*D74,IF(AND(D74=-35,E74=300)=TRUE,0.98*D74,IF(AND(D74=-100,E74=160)=TRUE,80,IF(AND(D74=-100,E74=900)=TRUE,80,"x")))))))</f>
        <v/>
      </c>
      <c r="G74" s="82">
        <f>IF(AND(D74&lt;0,E74=0)=TRUE,0.75*D74,IF(AND(D74=0,E74&gt;0)=TRUE,0.25*E74,IF(D74=-E74,0.5*D74,IF(AND(D74=-20,E74=100)=TRUE,0,IF(AND(D74=-35,E74=300)=TRUE,0,IF(AND(D74=-100,E74=160)=TRUE,0,IF(AND(D74=-100,E74=900)=TRUE,0,"x")))))))</f>
        <v/>
      </c>
      <c r="H74" s="82">
        <f>IF(AND(D74&lt;0,E74=0)=TRUE,0.5*D74,IF(AND(D74=0,E74&gt;0)=TRUE,0.5*E74,IF(D74=-E74,0,IF(AND(D74=-20,E74=100)=TRUE,0.33*E74,IF(AND(D74=-35,E74=300)=TRUE,0.33*E74,IF(AND(D74=-100,E74=160)=TRUE,0.33*E74,IF(AND(D74=-100,E74=900)=TRUE,0.33*E74,"x")))))))</f>
        <v/>
      </c>
      <c r="I74" s="82">
        <f>IF(AND(D74&lt;0,E74=0)=TRUE,0.25*D74,IF(AND(D74=0,E74&gt;0)=TRUE,0.75*E74,IF(D74=-E74,0.5*E74,IF(AND(D74=-20,E74=100)=TRUE,0.66*E74,IF(AND(D74=-35,E74=300)=TRUE,0.66*E74,IF(AND(D74=-100,E74=160)=TRUE,0.66*E74,IF(AND(D74=-100,E74=900)=TRUE,0.66*E74,"x")))))))</f>
        <v/>
      </c>
      <c r="J74" s="83">
        <f>IF(AND(D74&lt;0,E74=0)=TRUE,0*D74,IF(AND(D74=0,E74&gt;0)=TRUE,0.98*E74,IF(D74=-E74,0.98*E74,IF(AND(D74=-20,E74=100)=TRUE,0.98*E74,IF(AND(D74=-35,E74=300)=TRUE,0.98*E74,IF(AND(D74=-100,E74=160)=TRUE,0.98*E74,IF(AND(D74=-100,E74=900)=TRUE,0.98*E74,"x")))))))</f>
        <v/>
      </c>
      <c r="K74" s="386" t="inlineStr">
        <is>
          <t>Pass</t>
        </is>
      </c>
      <c r="L74" s="387" t="inlineStr">
        <is>
          <t>-</t>
        </is>
      </c>
      <c r="M74" s="84">
        <f>F74</f>
        <v/>
      </c>
      <c r="N74" s="85">
        <f>G74</f>
        <v/>
      </c>
      <c r="O74" s="86">
        <f>H74</f>
        <v/>
      </c>
      <c r="P74" s="85">
        <f>I74</f>
        <v/>
      </c>
      <c r="Q74" s="87">
        <f>J74</f>
        <v/>
      </c>
      <c r="R74" s="388" t="inlineStr">
        <is>
          <t>kPa</t>
        </is>
      </c>
      <c r="S74" s="389">
        <f>IF(D74&lt;E74,(E74-D74)*0.002,"x")</f>
        <v/>
      </c>
      <c r="T74" s="388" t="n">
        <v>3483299</v>
      </c>
      <c r="U74" s="35" t="n"/>
    </row>
    <row r="75" ht="13" customHeight="1" thickBot="1">
      <c r="A75" s="38" t="n"/>
      <c r="B75" s="390" t="n"/>
      <c r="C75" s="390" t="n"/>
      <c r="D75" s="390" t="n"/>
      <c r="E75" s="391" t="n"/>
      <c r="F75" s="392" t="n">
        <v>0</v>
      </c>
      <c r="G75" s="393" t="n">
        <v>74.70999999999999</v>
      </c>
      <c r="H75" s="393" t="n">
        <v>150</v>
      </c>
      <c r="I75" s="393" t="n">
        <v>225</v>
      </c>
      <c r="J75" s="394" t="n">
        <v>294</v>
      </c>
      <c r="K75" s="390" t="n"/>
      <c r="L75" s="390" t="n"/>
      <c r="M75" s="392" t="n">
        <v>0</v>
      </c>
      <c r="N75" s="393" t="n">
        <v>74.98</v>
      </c>
      <c r="O75" s="393" t="n">
        <v>149.98</v>
      </c>
      <c r="P75" s="393" t="n">
        <v>224.98</v>
      </c>
      <c r="Q75" s="394" t="n">
        <v>293.98</v>
      </c>
      <c r="R75" s="390" t="n"/>
      <c r="S75" s="395" t="n"/>
      <c r="T75" s="390" t="n"/>
      <c r="U75" s="35" t="n"/>
    </row>
    <row r="76" ht="13" customHeight="1" thickBot="1">
      <c r="A76" s="38" t="n"/>
      <c r="B76" s="247" t="n">
        <v>67</v>
      </c>
      <c r="C76" s="247" t="inlineStr">
        <is>
          <t>PTX 67</t>
        </is>
      </c>
      <c r="D76" s="247" t="n">
        <v>0</v>
      </c>
      <c r="E76" s="385" t="n">
        <v>250</v>
      </c>
      <c r="F76" s="126">
        <f>IF(AND(D76&lt;0,E76=0)=TRUE,0.98*D76,IF(AND(D76=0,E76&gt;0)=TRUE,0,IF(D76=-E76,0.98*D76,IF(AND(D76=-20,E76=100)=TRUE,0.98*D76,IF(AND(D76=-35,E76=300)=TRUE,0.98*D76,IF(AND(D76=-100,E76=160)=TRUE,80,IF(AND(D76=-100,E76=900)=TRUE,80,"x")))))))</f>
        <v/>
      </c>
      <c r="G76" s="82">
        <f>IF(AND(D76&lt;0,E76=0)=TRUE,0.75*D76,IF(AND(D76=0,E76&gt;0)=TRUE,0.25*E76,IF(D76=-E76,0.5*D76,IF(AND(D76=-20,E76=100)=TRUE,0,IF(AND(D76=-35,E76=300)=TRUE,0,IF(AND(D76=-100,E76=160)=TRUE,0,IF(AND(D76=-100,E76=900)=TRUE,0,"x")))))))</f>
        <v/>
      </c>
      <c r="H76" s="82">
        <f>IF(AND(D76&lt;0,E76=0)=TRUE,0.5*D76,IF(AND(D76=0,E76&gt;0)=TRUE,0.5*E76,IF(D76=-E76,0,IF(AND(D76=-20,E76=100)=TRUE,0.33*E76,IF(AND(D76=-35,E76=300)=TRUE,0.33*E76,IF(AND(D76=-100,E76=160)=TRUE,0.33*E76,IF(AND(D76=-100,E76=900)=TRUE,0.33*E76,"x")))))))</f>
        <v/>
      </c>
      <c r="I76" s="82">
        <f>IF(AND(D76&lt;0,E76=0)=TRUE,0.25*D76,IF(AND(D76=0,E76&gt;0)=TRUE,0.75*E76,IF(D76=-E76,0.5*E76,IF(AND(D76=-20,E76=100)=TRUE,0.66*E76,IF(AND(D76=-35,E76=300)=TRUE,0.66*E76,IF(AND(D76=-100,E76=160)=TRUE,0.66*E76,IF(AND(D76=-100,E76=900)=TRUE,0.66*E76,"x")))))))</f>
        <v/>
      </c>
      <c r="J76" s="83">
        <f>IF(AND(D76&lt;0,E76=0)=TRUE,0*D76,IF(AND(D76=0,E76&gt;0)=TRUE,0.98*E76,IF(D76=-E76,0.98*E76,IF(AND(D76=-20,E76=100)=TRUE,0.98*E76,IF(AND(D76=-35,E76=300)=TRUE,0.98*E76,IF(AND(D76=-100,E76=160)=TRUE,0.98*E76,IF(AND(D76=-100,E76=900)=TRUE,0.98*E76,"x")))))))</f>
        <v/>
      </c>
      <c r="K76" s="386" t="inlineStr">
        <is>
          <t>Fail</t>
        </is>
      </c>
      <c r="L76" s="387" t="inlineStr">
        <is>
          <t>-</t>
        </is>
      </c>
      <c r="M76" s="84">
        <f>F76</f>
        <v/>
      </c>
      <c r="N76" s="85">
        <f>G76</f>
        <v/>
      </c>
      <c r="O76" s="86">
        <f>H76</f>
        <v/>
      </c>
      <c r="P76" s="85">
        <f>I76</f>
        <v/>
      </c>
      <c r="Q76" s="87">
        <f>J76</f>
        <v/>
      </c>
      <c r="R76" s="388" t="inlineStr">
        <is>
          <t>kPa</t>
        </is>
      </c>
      <c r="S76" s="389">
        <f>IF(D76&lt;E76,(E76-D76)*0.002,"x")</f>
        <v/>
      </c>
      <c r="T76" s="388" t="n">
        <v>3559391</v>
      </c>
      <c r="U76" s="35" t="n"/>
    </row>
    <row r="77" ht="13" customHeight="1" thickBot="1">
      <c r="A77" s="38" t="n"/>
      <c r="B77" s="390" t="n"/>
      <c r="C77" s="390" t="n"/>
      <c r="D77" s="390" t="n"/>
      <c r="E77" s="391" t="n"/>
      <c r="F77" s="392" t="n">
        <v>0</v>
      </c>
      <c r="G77" s="393" t="n">
        <v>62.5</v>
      </c>
      <c r="H77" s="393" t="n">
        <v>125.42</v>
      </c>
      <c r="I77" s="393" t="n">
        <v>187.98</v>
      </c>
      <c r="J77" s="394" t="n">
        <v>245.49</v>
      </c>
      <c r="K77" s="390" t="n"/>
      <c r="L77" s="390" t="n"/>
      <c r="M77" s="392" t="n">
        <v>0</v>
      </c>
      <c r="N77" s="393" t="n">
        <v>62.46</v>
      </c>
      <c r="O77" s="393" t="n">
        <v>124.96</v>
      </c>
      <c r="P77" s="393" t="n">
        <v>187.46</v>
      </c>
      <c r="Q77" s="394" t="n">
        <v>244.98</v>
      </c>
      <c r="R77" s="390" t="n"/>
      <c r="S77" s="395" t="n"/>
      <c r="T77" s="390" t="n"/>
      <c r="U77" s="35" t="n"/>
    </row>
    <row r="78" ht="13" customHeight="1" thickBot="1">
      <c r="A78" s="38" t="n"/>
      <c r="B78" s="247" t="n">
        <v>68</v>
      </c>
      <c r="C78" s="247" t="inlineStr">
        <is>
          <t>PTX 68</t>
        </is>
      </c>
      <c r="D78" s="247" t="n">
        <v>0</v>
      </c>
      <c r="E78" s="385" t="n">
        <v>300</v>
      </c>
      <c r="F78" s="126">
        <f>IF(AND(D78&lt;0,E78=0)=TRUE,0.98*D78,IF(AND(D78=0,E78&gt;0)=TRUE,0,IF(D78=-E78,0.98*D78,IF(AND(D78=-20,E78=100)=TRUE,0.98*D78,IF(AND(D78=-35,E78=300)=TRUE,0.98*D78,IF(AND(D78=-100,E78=160)=TRUE,80,IF(AND(D78=-100,E78=900)=TRUE,80,"x")))))))</f>
        <v/>
      </c>
      <c r="G78" s="82">
        <f>IF(AND(D78&lt;0,E78=0)=TRUE,0.75*D78,IF(AND(D78=0,E78&gt;0)=TRUE,0.25*E78,IF(D78=-E78,0.5*D78,IF(AND(D78=-20,E78=100)=TRUE,0,IF(AND(D78=-35,E78=300)=TRUE,0,IF(AND(D78=-100,E78=160)=TRUE,0,IF(AND(D78=-100,E78=900)=TRUE,0,"x")))))))</f>
        <v/>
      </c>
      <c r="H78" s="82">
        <f>IF(AND(D78&lt;0,E78=0)=TRUE,0.5*D78,IF(AND(D78=0,E78&gt;0)=TRUE,0.5*E78,IF(D78=-E78,0,IF(AND(D78=-20,E78=100)=TRUE,0.33*E78,IF(AND(D78=-35,E78=300)=TRUE,0.33*E78,IF(AND(D78=-100,E78=160)=TRUE,0.33*E78,IF(AND(D78=-100,E78=900)=TRUE,0.33*E78,"x")))))))</f>
        <v/>
      </c>
      <c r="I78" s="82">
        <f>IF(AND(D78&lt;0,E78=0)=TRUE,0.25*D78,IF(AND(D78=0,E78&gt;0)=TRUE,0.75*E78,IF(D78=-E78,0.5*E78,IF(AND(D78=-20,E78=100)=TRUE,0.66*E78,IF(AND(D78=-35,E78=300)=TRUE,0.66*E78,IF(AND(D78=-100,E78=160)=TRUE,0.66*E78,IF(AND(D78=-100,E78=900)=TRUE,0.66*E78,"x")))))))</f>
        <v/>
      </c>
      <c r="J78" s="83">
        <f>IF(AND(D78&lt;0,E78=0)=TRUE,0*D78,IF(AND(D78=0,E78&gt;0)=TRUE,0.98*E78,IF(D78=-E78,0.98*E78,IF(AND(D78=-20,E78=100)=TRUE,0.98*E78,IF(AND(D78=-35,E78=300)=TRUE,0.98*E78,IF(AND(D78=-100,E78=160)=TRUE,0.98*E78,IF(AND(D78=-100,E78=900)=TRUE,0.98*E78,"x")))))))</f>
        <v/>
      </c>
      <c r="K78" s="386" t="inlineStr">
        <is>
          <t>Fail</t>
        </is>
      </c>
      <c r="L78" s="387" t="inlineStr">
        <is>
          <t>-</t>
        </is>
      </c>
      <c r="M78" s="84">
        <f>F78</f>
        <v/>
      </c>
      <c r="N78" s="85">
        <f>G78</f>
        <v/>
      </c>
      <c r="O78" s="86">
        <f>H78</f>
        <v/>
      </c>
      <c r="P78" s="85">
        <f>I78</f>
        <v/>
      </c>
      <c r="Q78" s="87">
        <f>J78</f>
        <v/>
      </c>
      <c r="R78" s="388" t="inlineStr">
        <is>
          <t>kPa</t>
        </is>
      </c>
      <c r="S78" s="389">
        <f>IF(D78&lt;E78,(E78-D78)*0.002,"x")</f>
        <v/>
      </c>
      <c r="T78" s="388" t="n">
        <v>5720424</v>
      </c>
      <c r="U78" s="35" t="n"/>
    </row>
    <row r="79" ht="13" customHeight="1" thickBot="1">
      <c r="A79" s="38" t="n"/>
      <c r="B79" s="390" t="n"/>
      <c r="C79" s="390" t="n"/>
      <c r="D79" s="390" t="n"/>
      <c r="E79" s="391" t="n"/>
      <c r="F79" s="392" t="n">
        <v>-0.16</v>
      </c>
      <c r="G79" s="393" t="n">
        <v>74.90000000000001</v>
      </c>
      <c r="H79" s="393" t="n">
        <v>149.89</v>
      </c>
      <c r="I79" s="393" t="n">
        <v>225.41</v>
      </c>
      <c r="J79" s="394" t="n">
        <v>295.87</v>
      </c>
      <c r="K79" s="390" t="n"/>
      <c r="L79" s="390" t="n"/>
      <c r="M79" s="392" t="n">
        <v>0</v>
      </c>
      <c r="N79" s="393" t="n">
        <v>75</v>
      </c>
      <c r="O79" s="393" t="n">
        <v>150.01</v>
      </c>
      <c r="P79" s="393" t="n">
        <v>225.01</v>
      </c>
      <c r="Q79" s="394" t="n">
        <v>294.03</v>
      </c>
      <c r="R79" s="390" t="n"/>
      <c r="S79" s="395" t="n"/>
      <c r="T79" s="390" t="n"/>
      <c r="U79" s="35" t="n"/>
    </row>
    <row r="80" ht="13" customHeight="1" thickBot="1">
      <c r="A80" s="38" t="n"/>
      <c r="B80" s="247" t="n">
        <v>69</v>
      </c>
      <c r="C80" s="247" t="inlineStr">
        <is>
          <t>PTX 69</t>
        </is>
      </c>
      <c r="D80" s="247" t="n">
        <v>-100</v>
      </c>
      <c r="E80" s="385" t="n">
        <v>900</v>
      </c>
      <c r="F80" s="126" t="n">
        <v>-80</v>
      </c>
      <c r="G80" s="82">
        <f>IF(AND(D80&lt;0,E80=0)=TRUE,0.75*D80,IF(AND(D80=0,E80&gt;0)=TRUE,0.25*E80,IF(D80=-E80,0.5*D80,IF(AND(D80=-20,E80=100)=TRUE,0,IF(AND(D80=-35,E80=300)=TRUE,0,IF(AND(D80=-100,E80=160)=TRUE,0,IF(AND(D80=-100,E80=900)=TRUE,0,"x")))))))</f>
        <v/>
      </c>
      <c r="H80" s="82">
        <f>IF(AND(D80&lt;0,E80=0)=TRUE,0.5*D80,IF(AND(D80=0,E80&gt;0)=TRUE,0.5*E80,IF(D80=-E80,0,IF(AND(D80=-20,E80=100)=TRUE,0.33*E80,IF(AND(D80=-35,E80=300)=TRUE,0.33*E80,IF(AND(D80=-100,E80=160)=TRUE,0.33*E80,IF(AND(D80=-100,E80=900)=TRUE,0.33*E80,"x")))))))</f>
        <v/>
      </c>
      <c r="I80" s="82">
        <f>IF(AND(D80&lt;0,E80=0)=TRUE,0.25*D80,IF(AND(D80=0,E80&gt;0)=TRUE,0.75*E80,IF(D80=-E80,0.5*E80,IF(AND(D80=-20,E80=100)=TRUE,0.66*E80,IF(AND(D80=-35,E80=300)=TRUE,0.66*E80,IF(AND(D80=-100,E80=160)=TRUE,0.66*E80,IF(AND(D80=-100,E80=900)=TRUE,0.66*E80,"x")))))))</f>
        <v/>
      </c>
      <c r="J80" s="83">
        <f>IF(AND(D80&lt;0,E80=0)=TRUE,0*D80,IF(AND(D80=0,E80&gt;0)=TRUE,0.98*E80,IF(D80=-E80,0.98*E80,IF(AND(D80=-20,E80=100)=TRUE,0.98*E80,IF(AND(D80=-35,E80=300)=TRUE,0.98*E80,IF(AND(D80=-100,E80=160)=TRUE,0.98*E80,IF(AND(D80=-100,E80=900)=TRUE,0.98*E80,"x")))))))</f>
        <v/>
      </c>
      <c r="K80" s="386" t="inlineStr">
        <is>
          <t>Fail</t>
        </is>
      </c>
      <c r="L80" s="387" t="inlineStr">
        <is>
          <t>-</t>
        </is>
      </c>
      <c r="M80" s="84">
        <f>F80</f>
        <v/>
      </c>
      <c r="N80" s="85">
        <f>G80</f>
        <v/>
      </c>
      <c r="O80" s="86">
        <f>H80</f>
        <v/>
      </c>
      <c r="P80" s="85">
        <f>I80</f>
        <v/>
      </c>
      <c r="Q80" s="87">
        <f>J80</f>
        <v/>
      </c>
      <c r="R80" s="388" t="inlineStr">
        <is>
          <t>kPa</t>
        </is>
      </c>
      <c r="S80" s="389">
        <f>IF(D80&lt;E80,(E80-D80)*0.002,"x")</f>
        <v/>
      </c>
      <c r="T80" s="388" t="n">
        <v>10403291</v>
      </c>
      <c r="U80" s="35" t="n"/>
    </row>
    <row r="81" ht="13" customHeight="1" thickBot="1">
      <c r="A81" s="38" t="n"/>
      <c r="B81" s="390" t="n"/>
      <c r="C81" s="390" t="n"/>
      <c r="D81" s="390" t="n"/>
      <c r="E81" s="391" t="n"/>
      <c r="F81" s="392" t="n">
        <v>-80.81</v>
      </c>
      <c r="G81" s="393" t="n">
        <v>-1.51</v>
      </c>
      <c r="H81" s="393" t="n">
        <v>293.51</v>
      </c>
      <c r="I81" s="393" t="n">
        <v>589.22</v>
      </c>
      <c r="J81" s="394" t="n">
        <v>876.75</v>
      </c>
      <c r="K81" s="390" t="n"/>
      <c r="L81" s="390" t="n"/>
      <c r="M81" s="392" t="n">
        <v>-80</v>
      </c>
      <c r="N81" s="393" t="n">
        <v>0</v>
      </c>
      <c r="O81" s="393" t="n">
        <v>297</v>
      </c>
      <c r="P81" s="393" t="n">
        <v>593.9299999999999</v>
      </c>
      <c r="Q81" s="394" t="n">
        <v>881.9299999999999</v>
      </c>
      <c r="R81" s="390" t="n"/>
      <c r="S81" s="395" t="n"/>
      <c r="T81" s="390" t="n"/>
      <c r="U81" s="35" t="n"/>
    </row>
    <row r="82" ht="13" customHeight="1" thickBot="1">
      <c r="A82" s="38" t="n"/>
      <c r="B82" s="247" t="n">
        <v>70</v>
      </c>
      <c r="C82" s="247" t="inlineStr">
        <is>
          <t>PTX 70</t>
        </is>
      </c>
      <c r="D82" s="247" t="n">
        <v>-100</v>
      </c>
      <c r="E82" s="385" t="n">
        <v>160</v>
      </c>
      <c r="F82" s="126" t="n">
        <v>-80</v>
      </c>
      <c r="G82" s="82">
        <f>IF(AND(D82&lt;0,E82=0)=TRUE,0.75*D82,IF(AND(D82=0,E82&gt;0)=TRUE,0.25*E82,IF(D82=-E82,0.5*D82,IF(AND(D82=-20,E82=100)=TRUE,0,IF(AND(D82=-35,E82=300)=TRUE,0,IF(AND(D82=-100,E82=160)=TRUE,0,IF(AND(D82=-100,E82=900)=TRUE,0,"x")))))))</f>
        <v/>
      </c>
      <c r="H82" s="82">
        <f>IF(AND(D82&lt;0,E82=0)=TRUE,0.5*D82,IF(AND(D82=0,E82&gt;0)=TRUE,0.5*E82,IF(D82=-E82,0,IF(AND(D82=-20,E82=100)=TRUE,0.33*E82,IF(AND(D82=-35,E82=300)=TRUE,0.33*E82,IF(AND(D82=-100,E82=160)=TRUE,0.33*E82,IF(AND(D82=-100,E82=900)=TRUE,0.33*E82,"x")))))))</f>
        <v/>
      </c>
      <c r="I82" s="82">
        <f>IF(AND(D82&lt;0,E82=0)=TRUE,0.25*D82,IF(AND(D82=0,E82&gt;0)=TRUE,0.75*E82,IF(D82=-E82,0.5*E82,IF(AND(D82=-20,E82=100)=TRUE,0.66*E82,IF(AND(D82=-35,E82=300)=TRUE,0.66*E82,IF(AND(D82=-100,E82=160)=TRUE,0.66*E82,IF(AND(D82=-100,E82=900)=TRUE,0.66*E82,"x")))))))</f>
        <v/>
      </c>
      <c r="J82" s="83">
        <f>IF(AND(D82&lt;0,E82=0)=TRUE,0*D82,IF(AND(D82=0,E82&gt;0)=TRUE,0.98*E82,IF(D82=-E82,0.98*E82,IF(AND(D82=-20,E82=100)=TRUE,0.98*E82,IF(AND(D82=-35,E82=300)=TRUE,0.98*E82,IF(AND(D82=-100,E82=160)=TRUE,0.98*E82,IF(AND(D82=-100,E82=900)=TRUE,0.98*E82,"x")))))))</f>
        <v/>
      </c>
      <c r="K82" s="386" t="inlineStr">
        <is>
          <t>Pass</t>
        </is>
      </c>
      <c r="L82" s="387" t="inlineStr">
        <is>
          <t>-</t>
        </is>
      </c>
      <c r="M82" s="84">
        <f>F82</f>
        <v/>
      </c>
      <c r="N82" s="85">
        <f>G82</f>
        <v/>
      </c>
      <c r="O82" s="86">
        <f>H82</f>
        <v/>
      </c>
      <c r="P82" s="85">
        <f>I82</f>
        <v/>
      </c>
      <c r="Q82" s="87">
        <f>J82</f>
        <v/>
      </c>
      <c r="R82" s="388" t="inlineStr">
        <is>
          <t>kPa</t>
        </is>
      </c>
      <c r="S82" s="389">
        <f>IF(D82&lt;E82,(E82-D82)*0.002,"x")</f>
        <v/>
      </c>
      <c r="T82" s="388" t="n"/>
      <c r="U82" s="35" t="n"/>
    </row>
    <row r="83" ht="13" customHeight="1" thickBot="1">
      <c r="A83" s="38" t="n"/>
      <c r="B83" s="390" t="n"/>
      <c r="C83" s="390" t="n"/>
      <c r="D83" s="390" t="n"/>
      <c r="E83" s="391" t="n"/>
      <c r="F83" s="392" t="n"/>
      <c r="G83" s="393" t="n"/>
      <c r="H83" s="393" t="n"/>
      <c r="I83" s="393" t="n"/>
      <c r="J83" s="394" t="n"/>
      <c r="K83" s="390" t="n"/>
      <c r="L83" s="390" t="n"/>
      <c r="M83" s="392" t="n"/>
      <c r="N83" s="393" t="n"/>
      <c r="O83" s="393" t="n"/>
      <c r="P83" s="393" t="n"/>
      <c r="Q83" s="394" t="n"/>
      <c r="R83" s="390" t="n"/>
      <c r="S83" s="395" t="n"/>
      <c r="T83" s="390" t="n"/>
      <c r="U83" s="35" t="n"/>
    </row>
    <row r="84" ht="13" customHeight="1" thickBot="1">
      <c r="A84" s="38" t="n"/>
      <c r="B84" s="247" t="n">
        <v>71</v>
      </c>
      <c r="C84" s="247" t="inlineStr">
        <is>
          <t>PTX 71</t>
        </is>
      </c>
      <c r="D84" s="247" t="n">
        <v>-100</v>
      </c>
      <c r="E84" s="385" t="n">
        <v>160</v>
      </c>
      <c r="F84" s="126" t="n">
        <v>-80</v>
      </c>
      <c r="G84" s="82">
        <f>IF(AND(D84&lt;0,E84=0)=TRUE,0.75*D84,IF(AND(D84=0,E84&gt;0)=TRUE,0.25*E84,IF(D84=-E84,0.5*D84,IF(AND(D84=-20,E84=100)=TRUE,0,IF(AND(D84=-35,E84=300)=TRUE,0,IF(AND(D84=-100,E84=160)=TRUE,0,IF(AND(D84=-100,E84=900)=TRUE,0,"x")))))))</f>
        <v/>
      </c>
      <c r="H84" s="82">
        <f>IF(AND(D84&lt;0,E84=0)=TRUE,0.5*D84,IF(AND(D84=0,E84&gt;0)=TRUE,0.5*E84,IF(D84=-E84,0,IF(AND(D84=-20,E84=100)=TRUE,0.33*E84,IF(AND(D84=-35,E84=300)=TRUE,0.33*E84,IF(AND(D84=-100,E84=160)=TRUE,0.33*E84,IF(AND(D84=-100,E84=900)=TRUE,0.33*E84,"x")))))))</f>
        <v/>
      </c>
      <c r="I84" s="82">
        <f>IF(AND(D84&lt;0,E84=0)=TRUE,0.25*D84,IF(AND(D84=0,E84&gt;0)=TRUE,0.75*E84,IF(D84=-E84,0.5*E84,IF(AND(D84=-20,E84=100)=TRUE,0.66*E84,IF(AND(D84=-35,E84=300)=TRUE,0.66*E84,IF(AND(D84=-100,E84=160)=TRUE,0.66*E84,IF(AND(D84=-100,E84=900)=TRUE,0.66*E84,"x")))))))</f>
        <v/>
      </c>
      <c r="J84" s="83">
        <f>IF(AND(D84&lt;0,E84=0)=TRUE,0*D84,IF(AND(D84=0,E84&gt;0)=TRUE,0.98*E84,IF(D84=-E84,0.98*E84,IF(AND(D84=-20,E84=100)=TRUE,0.98*E84,IF(AND(D84=-35,E84=300)=TRUE,0.98*E84,IF(AND(D84=-100,E84=160)=TRUE,0.98*E84,IF(AND(D84=-100,E84=900)=TRUE,0.98*E84,"x")))))))</f>
        <v/>
      </c>
      <c r="K84" s="386" t="inlineStr">
        <is>
          <t>Pass</t>
        </is>
      </c>
      <c r="L84" s="387" t="inlineStr">
        <is>
          <t>-</t>
        </is>
      </c>
      <c r="M84" s="84">
        <f>F84</f>
        <v/>
      </c>
      <c r="N84" s="85">
        <f>G84</f>
        <v/>
      </c>
      <c r="O84" s="86">
        <f>H84</f>
        <v/>
      </c>
      <c r="P84" s="85">
        <f>I84</f>
        <v/>
      </c>
      <c r="Q84" s="87">
        <f>J84</f>
        <v/>
      </c>
      <c r="R84" s="388" t="inlineStr">
        <is>
          <t>kPa</t>
        </is>
      </c>
      <c r="S84" s="389">
        <f>IF(D84&lt;E84,(E84-D84)*0.002,"x")</f>
        <v/>
      </c>
      <c r="T84" s="388" t="n"/>
      <c r="U84" s="35" t="n"/>
    </row>
    <row r="85" ht="13" customHeight="1" thickBot="1">
      <c r="A85" s="38" t="n"/>
      <c r="B85" s="390" t="n"/>
      <c r="C85" s="390" t="n"/>
      <c r="D85" s="390" t="n"/>
      <c r="E85" s="391" t="n"/>
      <c r="F85" s="392" t="n"/>
      <c r="G85" s="393" t="n"/>
      <c r="H85" s="393" t="n"/>
      <c r="I85" s="393" t="n"/>
      <c r="J85" s="394" t="n"/>
      <c r="K85" s="390" t="n"/>
      <c r="L85" s="390" t="n"/>
      <c r="M85" s="392" t="n"/>
      <c r="N85" s="393" t="n"/>
      <c r="O85" s="393" t="n"/>
      <c r="P85" s="393" t="n"/>
      <c r="Q85" s="394" t="n"/>
      <c r="R85" s="390" t="n"/>
      <c r="S85" s="395" t="n"/>
      <c r="T85" s="390" t="n"/>
      <c r="U85" s="35" t="n"/>
    </row>
    <row r="86" ht="13" customHeight="1" thickBot="1">
      <c r="A86" s="38" t="n"/>
      <c r="B86" s="247" t="n">
        <v>72</v>
      </c>
      <c r="C86" s="247" t="inlineStr">
        <is>
          <t>PTX 72</t>
        </is>
      </c>
      <c r="D86" s="247" t="n">
        <v>0</v>
      </c>
      <c r="E86" s="385" t="n">
        <v>7</v>
      </c>
      <c r="F86" s="126">
        <f>IF(AND(D86&lt;0,E86=0)=TRUE,0.98*D86,IF(AND(D86=0,E86&gt;0)=TRUE,0,IF(D86=-E86,0.98*D86,IF(AND(D86=-20,E86=100)=TRUE,0.98*D86,IF(AND(D86=-35,E86=300)=TRUE,0.98*D86,IF(AND(D86=-100,E86=160)=TRUE,80,IF(AND(D86=-100,E86=900)=TRUE,80,"x")))))))</f>
        <v/>
      </c>
      <c r="G86" s="82">
        <f>IF(AND(D86&lt;0,E86=0)=TRUE,0.75*D86,IF(AND(D86=0,E86&gt;0)=TRUE,0.25*E86,IF(D86=-E86,0.5*D86,IF(AND(D86=-20,E86=100)=TRUE,0,IF(AND(D86=-35,E86=300)=TRUE,0,IF(AND(D86=-100,E86=160)=TRUE,0,IF(AND(D86=-100,E86=900)=TRUE,0,"x")))))))</f>
        <v/>
      </c>
      <c r="H86" s="82">
        <f>IF(AND(D86&lt;0,E86=0)=TRUE,0.5*D86,IF(AND(D86=0,E86&gt;0)=TRUE,0.5*E86,IF(D86=-E86,0,IF(AND(D86=-20,E86=100)=TRUE,0.33*E86,IF(AND(D86=-35,E86=300)=TRUE,0.33*E86,IF(AND(D86=-100,E86=160)=TRUE,0.33*E86,IF(AND(D86=-100,E86=900)=TRUE,0.33*E86,"x")))))))</f>
        <v/>
      </c>
      <c r="I86" s="82">
        <f>IF(AND(D86&lt;0,E86=0)=TRUE,0.25*D86,IF(AND(D86=0,E86&gt;0)=TRUE,0.75*E86,IF(D86=-E86,0.5*E86,IF(AND(D86=-20,E86=100)=TRUE,0.66*E86,IF(AND(D86=-35,E86=300)=TRUE,0.66*E86,IF(AND(D86=-100,E86=160)=TRUE,0.66*E86,IF(AND(D86=-100,E86=900)=TRUE,0.66*E86,"x")))))))</f>
        <v/>
      </c>
      <c r="J86" s="83">
        <f>IF(AND(D86&lt;0,E86=0)=TRUE,0*D86,IF(AND(D86=0,E86&gt;0)=TRUE,0.98*E86,IF(D86=-E86,0.98*E86,IF(AND(D86=-20,E86=100)=TRUE,0.98*E86,IF(AND(D86=-35,E86=300)=TRUE,0.98*E86,IF(AND(D86=-100,E86=160)=TRUE,0.98*E86,IF(AND(D86=-100,E86=900)=TRUE,0.98*E86,"x")))))))</f>
        <v/>
      </c>
      <c r="K86" s="386" t="inlineStr">
        <is>
          <t>Pass</t>
        </is>
      </c>
      <c r="L86" s="387" t="inlineStr">
        <is>
          <t>-</t>
        </is>
      </c>
      <c r="M86" s="84">
        <f>F86</f>
        <v/>
      </c>
      <c r="N86" s="85">
        <f>G86</f>
        <v/>
      </c>
      <c r="O86" s="86">
        <f>H86</f>
        <v/>
      </c>
      <c r="P86" s="85">
        <f>I86</f>
        <v/>
      </c>
      <c r="Q86" s="87">
        <f>J86</f>
        <v/>
      </c>
      <c r="R86" s="388" t="inlineStr">
        <is>
          <t>kPa</t>
        </is>
      </c>
      <c r="S86" s="389">
        <f>IF(D86&lt;E86,(E86-D86)*0.002,"x")</f>
        <v/>
      </c>
      <c r="T86" s="388" t="n"/>
      <c r="U86" s="35" t="n"/>
    </row>
    <row r="87" ht="13" customHeight="1" thickBot="1">
      <c r="A87" s="38" t="n"/>
      <c r="B87" s="390" t="n"/>
      <c r="C87" s="390" t="n"/>
      <c r="D87" s="390" t="n"/>
      <c r="E87" s="391" t="n"/>
      <c r="F87" s="392" t="n"/>
      <c r="G87" s="393" t="n"/>
      <c r="H87" s="393" t="n"/>
      <c r="I87" s="393" t="n"/>
      <c r="J87" s="394" t="n"/>
      <c r="K87" s="390" t="n"/>
      <c r="L87" s="390" t="n"/>
      <c r="M87" s="392" t="n"/>
      <c r="N87" s="392" t="n"/>
      <c r="O87" s="392" t="n"/>
      <c r="P87" s="392" t="n"/>
      <c r="Q87" s="392" t="n"/>
      <c r="R87" s="390" t="n"/>
      <c r="S87" s="395" t="n"/>
      <c r="T87" s="390" t="n"/>
      <c r="U87" s="35" t="n"/>
    </row>
    <row r="88" ht="13" customHeight="1" thickBot="1">
      <c r="A88" s="38" t="n"/>
      <c r="B88" s="247" t="n">
        <v>73</v>
      </c>
      <c r="C88" s="247" t="inlineStr">
        <is>
          <t>PTX 73</t>
        </is>
      </c>
      <c r="D88" s="247" t="n">
        <v>0</v>
      </c>
      <c r="E88" s="385" t="n">
        <v>600</v>
      </c>
      <c r="F88" s="126">
        <f>IF(AND(D88&lt;0,E88=0)=TRUE,0.98*D88,IF(AND(D88=0,E88&gt;0)=TRUE,0,IF(D88=-E88,0.98*D88,IF(AND(D88=-20,E88=100)=TRUE,0.98*D88,IF(AND(D88=-35,E88=300)=TRUE,0.98*D88,IF(AND(D88=-100,E88=160)=TRUE,80,IF(AND(D88=-100,E88=900)=TRUE,80,"x")))))))</f>
        <v/>
      </c>
      <c r="G88" s="82">
        <f>IF(AND(D88&lt;0,E88=0)=TRUE,0.75*D88,IF(AND(D88=0,E88&gt;0)=TRUE,0.25*E88,IF(D88=-E88,0.5*D88,IF(AND(D88=-20,E88=100)=TRUE,0,IF(AND(D88=-35,E88=300)=TRUE,0,IF(AND(D88=-100,E88=160)=TRUE,0,IF(AND(D88=-100,E88=900)=TRUE,0,"x")))))))</f>
        <v/>
      </c>
      <c r="H88" s="82">
        <f>IF(AND(D88&lt;0,E88=0)=TRUE,0.5*D88,IF(AND(D88=0,E88&gt;0)=TRUE,0.5*E88,IF(D88=-E88,0,IF(AND(D88=-20,E88=100)=TRUE,0.33*E88,IF(AND(D88=-35,E88=300)=TRUE,0.33*E88,IF(AND(D88=-100,E88=160)=TRUE,0.33*E88,IF(AND(D88=-100,E88=900)=TRUE,0.33*E88,"x")))))))</f>
        <v/>
      </c>
      <c r="I88" s="82">
        <f>IF(AND(D88&lt;0,E88=0)=TRUE,0.25*D88,IF(AND(D88=0,E88&gt;0)=TRUE,0.75*E88,IF(D88=-E88,0.5*E88,IF(AND(D88=-20,E88=100)=TRUE,0.66*E88,IF(AND(D88=-35,E88=300)=TRUE,0.66*E88,IF(AND(D88=-100,E88=160)=TRUE,0.66*E88,IF(AND(D88=-100,E88=900)=TRUE,0.66*E88,"x")))))))</f>
        <v/>
      </c>
      <c r="J88" s="83">
        <f>IF(AND(D88&lt;0,E88=0)=TRUE,0*D88,IF(AND(D88=0,E88&gt;0)=TRUE,0.98*E88,IF(D88=-E88,0.98*E88,IF(AND(D88=-20,E88=100)=TRUE,0.98*E88,IF(AND(D88=-35,E88=300)=TRUE,0.98*E88,IF(AND(D88=-100,E88=160)=TRUE,0.98*E88,IF(AND(D88=-100,E88=900)=TRUE,0.98*E88,"x")))))))</f>
        <v/>
      </c>
      <c r="K88" s="386" t="inlineStr">
        <is>
          <t>Pass</t>
        </is>
      </c>
      <c r="L88" s="387" t="inlineStr">
        <is>
          <t>-</t>
        </is>
      </c>
      <c r="M88" s="84">
        <f>F88</f>
        <v/>
      </c>
      <c r="N88" s="85">
        <f>G88</f>
        <v/>
      </c>
      <c r="O88" s="86">
        <f>H88</f>
        <v/>
      </c>
      <c r="P88" s="85">
        <f>I88</f>
        <v/>
      </c>
      <c r="Q88" s="87">
        <f>J88</f>
        <v/>
      </c>
      <c r="R88" s="388" t="inlineStr">
        <is>
          <t>kPa</t>
        </is>
      </c>
      <c r="S88" s="389">
        <f>IF(D88&lt;E88,(E88-D88)*0.002,"x")</f>
        <v/>
      </c>
      <c r="T88" s="388" t="n"/>
      <c r="U88" s="35" t="n"/>
    </row>
    <row r="89" ht="13" customHeight="1" thickBot="1">
      <c r="A89" s="38" t="n"/>
      <c r="B89" s="390" t="n"/>
      <c r="C89" s="390" t="n"/>
      <c r="D89" s="390" t="n"/>
      <c r="E89" s="391" t="n"/>
      <c r="F89" s="392" t="n"/>
      <c r="G89" s="393" t="n"/>
      <c r="H89" s="393" t="n"/>
      <c r="I89" s="393" t="n"/>
      <c r="J89" s="394" t="n"/>
      <c r="K89" s="390" t="n"/>
      <c r="L89" s="390" t="n"/>
      <c r="M89" s="392" t="n"/>
      <c r="N89" s="392" t="n"/>
      <c r="O89" s="392" t="n"/>
      <c r="P89" s="392" t="n"/>
      <c r="Q89" s="392" t="n"/>
      <c r="R89" s="390" t="n"/>
      <c r="S89" s="395" t="n"/>
      <c r="T89" s="390" t="n"/>
      <c r="U89" s="35" t="n"/>
    </row>
    <row r="90" ht="13" customHeight="1" thickBot="1">
      <c r="A90" s="38" t="n"/>
      <c r="B90" s="247" t="n">
        <v>74</v>
      </c>
      <c r="C90" s="247" t="inlineStr">
        <is>
          <t>PTX 74</t>
        </is>
      </c>
      <c r="D90" s="247" t="n">
        <v>0</v>
      </c>
      <c r="E90" s="385" t="n">
        <v>600</v>
      </c>
      <c r="F90" s="126">
        <f>IF(AND(D90&lt;0,E90=0)=TRUE,0.98*D90,IF(AND(D90=0,E90&gt;0)=TRUE,0,IF(D90=-E90,0.98*D90,IF(AND(D90=-20,E90=100)=TRUE,0.98*D90,IF(AND(D90=-35,E90=300)=TRUE,0.98*D90,IF(AND(D90=-100,E90=160)=TRUE,80,IF(AND(D90=-100,E90=900)=TRUE,80,"x")))))))</f>
        <v/>
      </c>
      <c r="G90" s="82">
        <f>IF(AND(D90&lt;0,E90=0)=TRUE,0.75*D90,IF(AND(D90=0,E90&gt;0)=TRUE,0.25*E90,IF(D90=-E90,0.5*D90,IF(AND(D90=-20,E90=100)=TRUE,0,IF(AND(D90=-35,E90=300)=TRUE,0,IF(AND(D90=-100,E90=160)=TRUE,0,IF(AND(D90=-100,E90=900)=TRUE,0,"x")))))))</f>
        <v/>
      </c>
      <c r="H90" s="82">
        <f>IF(AND(D90&lt;0,E90=0)=TRUE,0.5*D90,IF(AND(D90=0,E90&gt;0)=TRUE,0.5*E90,IF(D90=-E90,0,IF(AND(D90=-20,E90=100)=TRUE,0.33*E90,IF(AND(D90=-35,E90=300)=TRUE,0.33*E90,IF(AND(D90=-100,E90=160)=TRUE,0.33*E90,IF(AND(D90=-100,E90=900)=TRUE,0.33*E90,"x")))))))</f>
        <v/>
      </c>
      <c r="I90" s="82">
        <f>IF(AND(D90&lt;0,E90=0)=TRUE,0.25*D90,IF(AND(D90=0,E90&gt;0)=TRUE,0.75*E90,IF(D90=-E90,0.5*E90,IF(AND(D90=-20,E90=100)=TRUE,0.66*E90,IF(AND(D90=-35,E90=300)=TRUE,0.66*E90,IF(AND(D90=-100,E90=160)=TRUE,0.66*E90,IF(AND(D90=-100,E90=900)=TRUE,0.66*E90,"x")))))))</f>
        <v/>
      </c>
      <c r="J90" s="83">
        <f>IF(AND(D90&lt;0,E90=0)=TRUE,0*D90,IF(AND(D90=0,E90&gt;0)=TRUE,0.98*E90,IF(D90=-E90,0.98*E90,IF(AND(D90=-20,E90=100)=TRUE,0.98*E90,IF(AND(D90=-35,E90=300)=TRUE,0.98*E90,IF(AND(D90=-100,E90=160)=TRUE,0.98*E90,IF(AND(D90=-100,E90=900)=TRUE,0.98*E90,"x")))))))</f>
        <v/>
      </c>
      <c r="K90" s="386" t="inlineStr">
        <is>
          <t>Pass</t>
        </is>
      </c>
      <c r="L90" s="387" t="inlineStr">
        <is>
          <t>-</t>
        </is>
      </c>
      <c r="M90" s="84">
        <f>F90</f>
        <v/>
      </c>
      <c r="N90" s="85">
        <f>G90</f>
        <v/>
      </c>
      <c r="O90" s="86">
        <f>H90</f>
        <v/>
      </c>
      <c r="P90" s="85">
        <f>I90</f>
        <v/>
      </c>
      <c r="Q90" s="87">
        <f>J90</f>
        <v/>
      </c>
      <c r="R90" s="388" t="inlineStr">
        <is>
          <t>kPa</t>
        </is>
      </c>
      <c r="S90" s="389">
        <f>IF(D90&lt;E90,(E90-D90)*0.002,"x")</f>
        <v/>
      </c>
      <c r="T90" s="388" t="n"/>
      <c r="U90" s="35" t="n"/>
    </row>
    <row r="91" ht="13" customHeight="1" thickBot="1">
      <c r="A91" s="38" t="n"/>
      <c r="B91" s="390" t="n"/>
      <c r="C91" s="390" t="n"/>
      <c r="D91" s="390" t="n"/>
      <c r="E91" s="391" t="n"/>
      <c r="F91" s="392" t="n"/>
      <c r="G91" s="393" t="n"/>
      <c r="H91" s="393" t="n"/>
      <c r="I91" s="393" t="n"/>
      <c r="J91" s="394" t="n"/>
      <c r="K91" s="390" t="n"/>
      <c r="L91" s="390" t="n"/>
      <c r="M91" s="392" t="n"/>
      <c r="N91" s="392" t="n"/>
      <c r="O91" s="392" t="n"/>
      <c r="P91" s="392" t="n"/>
      <c r="Q91" s="392" t="n"/>
      <c r="R91" s="390" t="n"/>
      <c r="S91" s="395" t="n"/>
      <c r="T91" s="390" t="n"/>
      <c r="U91" s="35" t="n"/>
    </row>
    <row r="92" ht="13" customHeight="1" thickBot="1">
      <c r="A92" s="38" t="n"/>
      <c r="B92" s="247" t="n">
        <v>75</v>
      </c>
      <c r="C92" s="247" t="inlineStr">
        <is>
          <t>PTX 75</t>
        </is>
      </c>
      <c r="D92" s="247" t="n">
        <v>0</v>
      </c>
      <c r="E92" s="385" t="n">
        <v>600</v>
      </c>
      <c r="F92" s="126">
        <f>IF(AND(D92&lt;0,E92=0)=TRUE,0.98*D92,IF(AND(D92=0,E92&gt;0)=TRUE,0,IF(D92=-E92,0.98*D92,IF(AND(D92=-20,E92=100)=TRUE,0.98*D92,IF(AND(D92=-35,E92=300)=TRUE,0.98*D92,IF(AND(D92=-100,E92=160)=TRUE,80,IF(AND(D92=-100,E92=900)=TRUE,80,"x")))))))</f>
        <v/>
      </c>
      <c r="G92" s="82">
        <f>IF(AND(D92&lt;0,E92=0)=TRUE,0.75*D92,IF(AND(D92=0,E92&gt;0)=TRUE,0.25*E92,IF(D92=-E92,0.5*D92,IF(AND(D92=-20,E92=100)=TRUE,0,IF(AND(D92=-35,E92=300)=TRUE,0,IF(AND(D92=-100,E92=160)=TRUE,0,IF(AND(D92=-100,E92=900)=TRUE,0,"x")))))))</f>
        <v/>
      </c>
      <c r="H92" s="82">
        <f>IF(AND(D92&lt;0,E92=0)=TRUE,0.5*D92,IF(AND(D92=0,E92&gt;0)=TRUE,0.5*E92,IF(D92=-E92,0,IF(AND(D92=-20,E92=100)=TRUE,0.33*E92,IF(AND(D92=-35,E92=300)=TRUE,0.33*E92,IF(AND(D92=-100,E92=160)=TRUE,0.33*E92,IF(AND(D92=-100,E92=900)=TRUE,0.33*E92,"x")))))))</f>
        <v/>
      </c>
      <c r="I92" s="82">
        <f>IF(AND(D92&lt;0,E92=0)=TRUE,0.25*D92,IF(AND(D92=0,E92&gt;0)=TRUE,0.75*E92,IF(D92=-E92,0.5*E92,IF(AND(D92=-20,E92=100)=TRUE,0.66*E92,IF(AND(D92=-35,E92=300)=TRUE,0.66*E92,IF(AND(D92=-100,E92=160)=TRUE,0.66*E92,IF(AND(D92=-100,E92=900)=TRUE,0.66*E92,"x")))))))</f>
        <v/>
      </c>
      <c r="J92" s="83">
        <f>IF(AND(D92&lt;0,E92=0)=TRUE,0*D92,IF(AND(D92=0,E92&gt;0)=TRUE,0.98*E92,IF(D92=-E92,0.98*E92,IF(AND(D92=-20,E92=100)=TRUE,0.98*E92,IF(AND(D92=-35,E92=300)=TRUE,0.98*E92,IF(AND(D92=-100,E92=160)=TRUE,0.98*E92,IF(AND(D92=-100,E92=900)=TRUE,0.98*E92,"x")))))))</f>
        <v/>
      </c>
      <c r="K92" s="386" t="inlineStr">
        <is>
          <t>Pass</t>
        </is>
      </c>
      <c r="L92" s="387" t="inlineStr">
        <is>
          <t>-</t>
        </is>
      </c>
      <c r="M92" s="84">
        <f>F92</f>
        <v/>
      </c>
      <c r="N92" s="85">
        <f>G92</f>
        <v/>
      </c>
      <c r="O92" s="86">
        <f>H92</f>
        <v/>
      </c>
      <c r="P92" s="85">
        <f>I92</f>
        <v/>
      </c>
      <c r="Q92" s="87">
        <f>J92</f>
        <v/>
      </c>
      <c r="R92" s="388" t="inlineStr">
        <is>
          <t>kPa</t>
        </is>
      </c>
      <c r="S92" s="389">
        <f>IF(D92&lt;E92,(E92-D92)*0.002,"x")</f>
        <v/>
      </c>
      <c r="T92" s="388" t="n"/>
      <c r="U92" s="35" t="n"/>
    </row>
    <row r="93" ht="13" customHeight="1" thickBot="1">
      <c r="A93" s="38" t="n"/>
      <c r="B93" s="390" t="n"/>
      <c r="C93" s="390" t="n"/>
      <c r="D93" s="390" t="n"/>
      <c r="E93" s="391" t="n"/>
      <c r="F93" s="392" t="n"/>
      <c r="G93" s="393" t="n"/>
      <c r="H93" s="393" t="n"/>
      <c r="I93" s="393" t="n"/>
      <c r="J93" s="394" t="n"/>
      <c r="K93" s="390" t="n"/>
      <c r="L93" s="390" t="n"/>
      <c r="M93" s="392" t="n"/>
      <c r="N93" s="392" t="n"/>
      <c r="O93" s="392" t="n"/>
      <c r="P93" s="392" t="n"/>
      <c r="Q93" s="392" t="n"/>
      <c r="R93" s="390" t="n"/>
      <c r="S93" s="395" t="n"/>
      <c r="T93" s="390" t="n"/>
      <c r="U93" s="35" t="n"/>
    </row>
    <row r="94" ht="13" customHeight="1" thickBot="1">
      <c r="A94" s="38" t="n"/>
      <c r="B94" s="247" t="n">
        <v>76</v>
      </c>
      <c r="C94" s="247" t="inlineStr">
        <is>
          <t>PTX 76</t>
        </is>
      </c>
      <c r="D94" s="247" t="n">
        <v>0</v>
      </c>
      <c r="E94" s="385" t="n">
        <v>600</v>
      </c>
      <c r="F94" s="126">
        <f>IF(AND(D94&lt;0,E94=0)=TRUE,0.98*D94,IF(AND(D94=0,E94&gt;0)=TRUE,0,IF(D94=-E94,0.98*D94,IF(AND(D94=-20,E94=100)=TRUE,0.98*D94,IF(AND(D94=-35,E94=300)=TRUE,0.98*D94,IF(AND(D94=-100,E94=160)=TRUE,80,IF(AND(D94=-100,E94=900)=TRUE,80,"x")))))))</f>
        <v/>
      </c>
      <c r="G94" s="82">
        <f>IF(AND(D94&lt;0,E94=0)=TRUE,0.75*D94,IF(AND(D94=0,E94&gt;0)=TRUE,0.25*E94,IF(D94=-E94,0.5*D94,IF(AND(D94=-20,E94=100)=TRUE,0,IF(AND(D94=-35,E94=300)=TRUE,0,IF(AND(D94=-100,E94=160)=TRUE,0,IF(AND(D94=-100,E94=900)=TRUE,0,"x")))))))</f>
        <v/>
      </c>
      <c r="H94" s="82">
        <f>IF(AND(D94&lt;0,E94=0)=TRUE,0.5*D94,IF(AND(D94=0,E94&gt;0)=TRUE,0.5*E94,IF(D94=-E94,0,IF(AND(D94=-20,E94=100)=TRUE,0.33*E94,IF(AND(D94=-35,E94=300)=TRUE,0.33*E94,IF(AND(D94=-100,E94=160)=TRUE,0.33*E94,IF(AND(D94=-100,E94=900)=TRUE,0.33*E94,"x")))))))</f>
        <v/>
      </c>
      <c r="I94" s="82">
        <f>IF(AND(D94&lt;0,E94=0)=TRUE,0.25*D94,IF(AND(D94=0,E94&gt;0)=TRUE,0.75*E94,IF(D94=-E94,0.5*E94,IF(AND(D94=-20,E94=100)=TRUE,0.66*E94,IF(AND(D94=-35,E94=300)=TRUE,0.66*E94,IF(AND(D94=-100,E94=160)=TRUE,0.66*E94,IF(AND(D94=-100,E94=900)=TRUE,0.66*E94,"x")))))))</f>
        <v/>
      </c>
      <c r="J94" s="83">
        <f>IF(AND(D94&lt;0,E94=0)=TRUE,0*D94,IF(AND(D94=0,E94&gt;0)=TRUE,0.98*E94,IF(D94=-E94,0.98*E94,IF(AND(D94=-20,E94=100)=TRUE,0.98*E94,IF(AND(D94=-35,E94=300)=TRUE,0.98*E94,IF(AND(D94=-100,E94=160)=TRUE,0.98*E94,IF(AND(D94=-100,E94=900)=TRUE,0.98*E94,"x")))))))</f>
        <v/>
      </c>
      <c r="K94" s="386" t="inlineStr">
        <is>
          <t>Pass</t>
        </is>
      </c>
      <c r="L94" s="387" t="inlineStr">
        <is>
          <t>-</t>
        </is>
      </c>
      <c r="M94" s="84">
        <f>F94</f>
        <v/>
      </c>
      <c r="N94" s="85">
        <f>G94</f>
        <v/>
      </c>
      <c r="O94" s="86">
        <f>H94</f>
        <v/>
      </c>
      <c r="P94" s="85">
        <f>I94</f>
        <v/>
      </c>
      <c r="Q94" s="87">
        <f>J94</f>
        <v/>
      </c>
      <c r="R94" s="388" t="inlineStr">
        <is>
          <t>kPa</t>
        </is>
      </c>
      <c r="S94" s="389">
        <f>IF(D94&lt;E94,(E94-D94)*0.002,"x")</f>
        <v/>
      </c>
      <c r="T94" s="388" t="n"/>
      <c r="U94" s="35" t="n"/>
    </row>
    <row r="95" ht="13" customHeight="1" thickBot="1">
      <c r="A95" s="38" t="n"/>
      <c r="B95" s="390" t="n"/>
      <c r="C95" s="390" t="n"/>
      <c r="D95" s="390" t="n"/>
      <c r="E95" s="391" t="n"/>
      <c r="F95" s="392" t="n"/>
      <c r="G95" s="393" t="n"/>
      <c r="H95" s="393" t="n"/>
      <c r="I95" s="393" t="n"/>
      <c r="J95" s="394" t="n"/>
      <c r="K95" s="390" t="n"/>
      <c r="L95" s="390" t="n"/>
      <c r="M95" s="392" t="n"/>
      <c r="N95" s="392" t="n"/>
      <c r="O95" s="392" t="n"/>
      <c r="P95" s="392" t="n"/>
      <c r="Q95" s="392" t="n"/>
      <c r="R95" s="390" t="n"/>
      <c r="S95" s="395" t="n"/>
      <c r="T95" s="390" t="n"/>
      <c r="U95" s="35" t="n"/>
    </row>
    <row r="96" ht="13" customHeight="1" thickBot="1">
      <c r="A96" s="38" t="n"/>
      <c r="B96" s="247" t="n">
        <v>77</v>
      </c>
      <c r="C96" s="247" t="inlineStr">
        <is>
          <t>PTX 77</t>
        </is>
      </c>
      <c r="D96" s="247" t="n">
        <v>0</v>
      </c>
      <c r="E96" s="385" t="n">
        <v>600</v>
      </c>
      <c r="F96" s="126">
        <f>IF(AND(D96&lt;0,E96=0)=TRUE,0.98*D96,IF(AND(D96=0,E96&gt;0)=TRUE,0,IF(D96=-E96,0.98*D96,IF(AND(D96=-20,E96=100)=TRUE,0.98*D96,IF(AND(D96=-35,E96=300)=TRUE,0.98*D96,IF(AND(D96=-100,E96=160)=TRUE,80,IF(AND(D96=-100,E96=900)=TRUE,80,"x")))))))</f>
        <v/>
      </c>
      <c r="G96" s="82">
        <f>IF(AND(D96&lt;0,E96=0)=TRUE,0.75*D96,IF(AND(D96=0,E96&gt;0)=TRUE,0.25*E96,IF(D96=-E96,0.5*D96,IF(AND(D96=-20,E96=100)=TRUE,0,IF(AND(D96=-35,E96=300)=TRUE,0,IF(AND(D96=-100,E96=160)=TRUE,0,IF(AND(D96=-100,E96=900)=TRUE,0,"x")))))))</f>
        <v/>
      </c>
      <c r="H96" s="82">
        <f>IF(AND(D96&lt;0,E96=0)=TRUE,0.5*D96,IF(AND(D96=0,E96&gt;0)=TRUE,0.5*E96,IF(D96=-E96,0,IF(AND(D96=-20,E96=100)=TRUE,0.33*E96,IF(AND(D96=-35,E96=300)=TRUE,0.33*E96,IF(AND(D96=-100,E96=160)=TRUE,0.33*E96,IF(AND(D96=-100,E96=900)=TRUE,0.33*E96,"x")))))))</f>
        <v/>
      </c>
      <c r="I96" s="82">
        <f>IF(AND(D96&lt;0,E96=0)=TRUE,0.25*D96,IF(AND(D96=0,E96&gt;0)=TRUE,0.75*E96,IF(D96=-E96,0.5*E96,IF(AND(D96=-20,E96=100)=TRUE,0.66*E96,IF(AND(D96=-35,E96=300)=TRUE,0.66*E96,IF(AND(D96=-100,E96=160)=TRUE,0.66*E96,IF(AND(D96=-100,E96=900)=TRUE,0.66*E96,"x")))))))</f>
        <v/>
      </c>
      <c r="J96" s="83">
        <f>IF(AND(D96&lt;0,E96=0)=TRUE,0*D96,IF(AND(D96=0,E96&gt;0)=TRUE,0.98*E96,IF(D96=-E96,0.98*E96,IF(AND(D96=-20,E96=100)=TRUE,0.98*E96,IF(AND(D96=-35,E96=300)=TRUE,0.98*E96,IF(AND(D96=-100,E96=160)=TRUE,0.98*E96,IF(AND(D96=-100,E96=900)=TRUE,0.98*E96,"x")))))))</f>
        <v/>
      </c>
      <c r="K96" s="386" t="inlineStr">
        <is>
          <t>Pass</t>
        </is>
      </c>
      <c r="L96" s="387" t="inlineStr">
        <is>
          <t>-</t>
        </is>
      </c>
      <c r="M96" s="84">
        <f>F96</f>
        <v/>
      </c>
      <c r="N96" s="85">
        <f>G96</f>
        <v/>
      </c>
      <c r="O96" s="86">
        <f>H96</f>
        <v/>
      </c>
      <c r="P96" s="85">
        <f>I96</f>
        <v/>
      </c>
      <c r="Q96" s="87">
        <f>J96</f>
        <v/>
      </c>
      <c r="R96" s="388" t="inlineStr">
        <is>
          <t>kPa</t>
        </is>
      </c>
      <c r="S96" s="389">
        <f>IF(D96&lt;E96,(E96-D96)*0.002,"x")</f>
        <v/>
      </c>
      <c r="T96" s="388" t="n"/>
      <c r="U96" s="35" t="n"/>
    </row>
    <row r="97" ht="13" customHeight="1" thickBot="1">
      <c r="A97" s="38" t="n"/>
      <c r="B97" s="390" t="n"/>
      <c r="C97" s="390" t="n"/>
      <c r="D97" s="390" t="n"/>
      <c r="E97" s="391" t="n"/>
      <c r="F97" s="392" t="n"/>
      <c r="G97" s="393" t="n"/>
      <c r="H97" s="393" t="n"/>
      <c r="I97" s="393" t="n"/>
      <c r="J97" s="394" t="n"/>
      <c r="K97" s="390" t="n"/>
      <c r="L97" s="390" t="n"/>
      <c r="M97" s="392" t="n"/>
      <c r="N97" s="392" t="n"/>
      <c r="O97" s="392" t="n"/>
      <c r="P97" s="392" t="n"/>
      <c r="Q97" s="392" t="n"/>
      <c r="R97" s="390" t="n"/>
      <c r="S97" s="395" t="n"/>
      <c r="T97" s="390" t="n"/>
      <c r="U97" s="35" t="n"/>
    </row>
    <row r="98" ht="13" customHeight="1" thickBot="1">
      <c r="A98" s="38" t="n"/>
      <c r="B98" s="247" t="n">
        <v>78</v>
      </c>
      <c r="C98" s="247" t="inlineStr">
        <is>
          <t>PTX 78</t>
        </is>
      </c>
      <c r="D98" s="247" t="n">
        <v>0</v>
      </c>
      <c r="E98" s="385" t="n">
        <v>600</v>
      </c>
      <c r="F98" s="126">
        <f>IF(AND(D98&lt;0,E98=0)=TRUE,0.98*D98,IF(AND(D98=0,E98&gt;0)=TRUE,0,IF(D98=-E98,0.98*D98,IF(AND(D98=-20,E98=100)=TRUE,0.98*D98,IF(AND(D98=-35,E98=300)=TRUE,0.98*D98,IF(AND(D98=-100,E98=160)=TRUE,80,IF(AND(D98=-100,E98=900)=TRUE,80,"x")))))))</f>
        <v/>
      </c>
      <c r="G98" s="82">
        <f>IF(AND(D98&lt;0,E98=0)=TRUE,0.75*D98,IF(AND(D98=0,E98&gt;0)=TRUE,0.25*E98,IF(D98=-E98,0.5*D98,IF(AND(D98=-20,E98=100)=TRUE,0,IF(AND(D98=-35,E98=300)=TRUE,0,IF(AND(D98=-100,E98=160)=TRUE,0,IF(AND(D98=-100,E98=900)=TRUE,0,"x")))))))</f>
        <v/>
      </c>
      <c r="H98" s="82">
        <f>IF(AND(D98&lt;0,E98=0)=TRUE,0.5*D98,IF(AND(D98=0,E98&gt;0)=TRUE,0.5*E98,IF(D98=-E98,0,IF(AND(D98=-20,E98=100)=TRUE,0.33*E98,IF(AND(D98=-35,E98=300)=TRUE,0.33*E98,IF(AND(D98=-100,E98=160)=TRUE,0.33*E98,IF(AND(D98=-100,E98=900)=TRUE,0.33*E98,"x")))))))</f>
        <v/>
      </c>
      <c r="I98" s="82">
        <f>IF(AND(D98&lt;0,E98=0)=TRUE,0.25*D98,IF(AND(D98=0,E98&gt;0)=TRUE,0.75*E98,IF(D98=-E98,0.5*E98,IF(AND(D98=-20,E98=100)=TRUE,0.66*E98,IF(AND(D98=-35,E98=300)=TRUE,0.66*E98,IF(AND(D98=-100,E98=160)=TRUE,0.66*E98,IF(AND(D98=-100,E98=900)=TRUE,0.66*E98,"x")))))))</f>
        <v/>
      </c>
      <c r="J98" s="83">
        <f>IF(AND(D98&lt;0,E98=0)=TRUE,0*D98,IF(AND(D98=0,E98&gt;0)=TRUE,0.98*E98,IF(D98=-E98,0.98*E98,IF(AND(D98=-20,E98=100)=TRUE,0.98*E98,IF(AND(D98=-35,E98=300)=TRUE,0.98*E98,IF(AND(D98=-100,E98=160)=TRUE,0.98*E98,IF(AND(D98=-100,E98=900)=TRUE,0.98*E98,"x")))))))</f>
        <v/>
      </c>
      <c r="K98" s="386" t="inlineStr">
        <is>
          <t>Pass</t>
        </is>
      </c>
      <c r="L98" s="387" t="n"/>
      <c r="M98" s="84">
        <f>F98</f>
        <v/>
      </c>
      <c r="N98" s="85">
        <f>G98</f>
        <v/>
      </c>
      <c r="O98" s="86">
        <f>H98</f>
        <v/>
      </c>
      <c r="P98" s="85">
        <f>I98</f>
        <v/>
      </c>
      <c r="Q98" s="87">
        <f>J98</f>
        <v/>
      </c>
      <c r="R98" s="388" t="inlineStr">
        <is>
          <t>kPa</t>
        </is>
      </c>
      <c r="S98" s="389">
        <f>IF(D98&lt;E98,(E98-D98)*0.002,"x")</f>
        <v/>
      </c>
      <c r="T98" s="388" t="n"/>
      <c r="U98" s="35" t="n"/>
    </row>
    <row r="99" ht="13" customHeight="1" thickBot="1">
      <c r="A99" s="38" t="n"/>
      <c r="B99" s="390" t="n"/>
      <c r="C99" s="390" t="n"/>
      <c r="D99" s="390" t="n"/>
      <c r="E99" s="391" t="n"/>
      <c r="F99" s="392" t="n"/>
      <c r="G99" s="393" t="n"/>
      <c r="H99" s="393" t="n"/>
      <c r="I99" s="393" t="n"/>
      <c r="J99" s="394" t="n"/>
      <c r="K99" s="390" t="n"/>
      <c r="L99" s="390" t="n"/>
      <c r="M99" s="392" t="n"/>
      <c r="N99" s="392" t="n"/>
      <c r="O99" s="392" t="n"/>
      <c r="P99" s="392" t="n"/>
      <c r="Q99" s="392" t="n"/>
      <c r="R99" s="390" t="n"/>
      <c r="S99" s="395" t="n"/>
      <c r="T99" s="390" t="n"/>
      <c r="U99" s="35" t="n"/>
    </row>
    <row r="100" ht="13" customHeight="1" thickBot="1">
      <c r="A100" s="38" t="n"/>
      <c r="B100" s="247" t="n">
        <v>79</v>
      </c>
      <c r="C100" s="247" t="inlineStr">
        <is>
          <t>PTX 79</t>
        </is>
      </c>
      <c r="D100" s="247" t="n">
        <v>0</v>
      </c>
      <c r="E100" s="385" t="n">
        <v>600</v>
      </c>
      <c r="F100" s="126">
        <f>IF(AND(D100&lt;0,E100=0)=TRUE,0.98*D100,IF(AND(D100=0,E100&gt;0)=TRUE,0,IF(D100=-E100,0.98*D100,IF(AND(D100=-20,E100=100)=TRUE,0.98*D100,IF(AND(D100=-35,E100=300)=TRUE,0.98*D100,IF(AND(D100=-100,E100=160)=TRUE,80,IF(AND(D100=-100,E100=900)=TRUE,80,"x")))))))</f>
        <v/>
      </c>
      <c r="G100" s="82">
        <f>IF(AND(D100&lt;0,E100=0)=TRUE,0.75*D100,IF(AND(D100=0,E100&gt;0)=TRUE,0.25*E100,IF(D100=-E100,0.5*D100,IF(AND(D100=-20,E100=100)=TRUE,0,IF(AND(D100=-35,E100=300)=TRUE,0,IF(AND(D100=-100,E100=160)=TRUE,0,IF(AND(D100=-100,E100=900)=TRUE,0,"x")))))))</f>
        <v/>
      </c>
      <c r="H100" s="82">
        <f>IF(AND(D100&lt;0,E100=0)=TRUE,0.5*D100,IF(AND(D100=0,E100&gt;0)=TRUE,0.5*E100,IF(D100=-E100,0,IF(AND(D100=-20,E100=100)=TRUE,0.33*E100,IF(AND(D100=-35,E100=300)=TRUE,0.33*E100,IF(AND(D100=-100,E100=160)=TRUE,0.33*E100,IF(AND(D100=-100,E100=900)=TRUE,0.33*E100,"x")))))))</f>
        <v/>
      </c>
      <c r="I100" s="82">
        <f>IF(AND(D100&lt;0,E100=0)=TRUE,0.25*D100,IF(AND(D100=0,E100&gt;0)=TRUE,0.75*E100,IF(D100=-E100,0.5*E100,IF(AND(D100=-20,E100=100)=TRUE,0.66*E100,IF(AND(D100=-35,E100=300)=TRUE,0.66*E100,IF(AND(D100=-100,E100=160)=TRUE,0.66*E100,IF(AND(D100=-100,E100=900)=TRUE,0.66*E100,"x")))))))</f>
        <v/>
      </c>
      <c r="J100" s="83">
        <f>IF(AND(D100&lt;0,E100=0)=TRUE,0*D100,IF(AND(D100=0,E100&gt;0)=TRUE,0.98*E100,IF(D100=-E100,0.98*E100,IF(AND(D100=-20,E100=100)=TRUE,0.98*E100,IF(AND(D100=-35,E100=300)=TRUE,0.98*E100,IF(AND(D100=-100,E100=160)=TRUE,0.98*E100,IF(AND(D100=-100,E100=900)=TRUE,0.98*E100,"x")))))))</f>
        <v/>
      </c>
      <c r="K100" s="386" t="inlineStr">
        <is>
          <t>Pass</t>
        </is>
      </c>
      <c r="L100" s="387" t="inlineStr">
        <is>
          <t>-</t>
        </is>
      </c>
      <c r="M100" s="84">
        <f>F100</f>
        <v/>
      </c>
      <c r="N100" s="85">
        <f>G100</f>
        <v/>
      </c>
      <c r="O100" s="86">
        <f>H100</f>
        <v/>
      </c>
      <c r="P100" s="85">
        <f>I100</f>
        <v/>
      </c>
      <c r="Q100" s="87">
        <f>J100</f>
        <v/>
      </c>
      <c r="R100" s="388" t="inlineStr">
        <is>
          <t>kPa</t>
        </is>
      </c>
      <c r="S100" s="389">
        <f>IF(D100&lt;E100,(E100-D100)*0.002,"x")</f>
        <v/>
      </c>
      <c r="T100" s="388" t="n"/>
      <c r="U100" s="35" t="n"/>
    </row>
    <row r="101" ht="13" customHeight="1" thickBot="1">
      <c r="A101" s="38" t="n"/>
      <c r="B101" s="390" t="n"/>
      <c r="C101" s="390" t="n"/>
      <c r="D101" s="390" t="n"/>
      <c r="E101" s="391" t="n"/>
      <c r="F101" s="392" t="n"/>
      <c r="G101" s="393" t="n"/>
      <c r="H101" s="393" t="n"/>
      <c r="I101" s="393" t="n"/>
      <c r="J101" s="394" t="n"/>
      <c r="K101" s="390" t="n"/>
      <c r="L101" s="390" t="n"/>
      <c r="M101" s="392" t="n"/>
      <c r="N101" s="392" t="n"/>
      <c r="O101" s="392" t="n"/>
      <c r="P101" s="392" t="n"/>
      <c r="Q101" s="392" t="n"/>
      <c r="R101" s="390" t="n"/>
      <c r="S101" s="395" t="n"/>
      <c r="T101" s="390" t="n"/>
      <c r="U101" s="35" t="n"/>
    </row>
    <row r="102" ht="13" customHeight="1" thickBot="1">
      <c r="A102" s="38" t="n"/>
      <c r="B102" s="247" t="n">
        <v>80</v>
      </c>
      <c r="C102" s="247" t="inlineStr">
        <is>
          <t>PTX 80</t>
        </is>
      </c>
      <c r="D102" s="247" t="n">
        <v>0</v>
      </c>
      <c r="E102" s="385" t="n">
        <v>600</v>
      </c>
      <c r="F102" s="126">
        <f>IF(AND(D102&lt;0,E102=0)=TRUE,0.98*D102,IF(AND(D102=0,E102&gt;0)=TRUE,0,IF(D102=-E102,0.98*D102,IF(AND(D102=-20,E102=100)=TRUE,0.98*D102,IF(AND(D102=-35,E102=300)=TRUE,0.98*D102,IF(AND(D102=-100,E102=160)=TRUE,80,IF(AND(D102=-100,E102=900)=TRUE,80,"x")))))))</f>
        <v/>
      </c>
      <c r="G102" s="82">
        <f>IF(AND(D102&lt;0,E102=0)=TRUE,0.75*D102,IF(AND(D102=0,E102&gt;0)=TRUE,0.25*E102,IF(D102=-E102,0.5*D102,IF(AND(D102=-20,E102=100)=TRUE,0,IF(AND(D102=-35,E102=300)=TRUE,0,IF(AND(D102=-100,E102=160)=TRUE,0,IF(AND(D102=-100,E102=900)=TRUE,0,"x")))))))</f>
        <v/>
      </c>
      <c r="H102" s="82">
        <f>IF(AND(D102&lt;0,E102=0)=TRUE,0.5*D102,IF(AND(D102=0,E102&gt;0)=TRUE,0.5*E102,IF(D102=-E102,0,IF(AND(D102=-20,E102=100)=TRUE,0.33*E102,IF(AND(D102=-35,E102=300)=TRUE,0.33*E102,IF(AND(D102=-100,E102=160)=TRUE,0.33*E102,IF(AND(D102=-100,E102=900)=TRUE,0.33*E102,"x")))))))</f>
        <v/>
      </c>
      <c r="I102" s="82">
        <f>IF(AND(D102&lt;0,E102=0)=TRUE,0.25*D102,IF(AND(D102=0,E102&gt;0)=TRUE,0.75*E102,IF(D102=-E102,0.5*E102,IF(AND(D102=-20,E102=100)=TRUE,0.66*E102,IF(AND(D102=-35,E102=300)=TRUE,0.66*E102,IF(AND(D102=-100,E102=160)=TRUE,0.66*E102,IF(AND(D102=-100,E102=900)=TRUE,0.66*E102,"x")))))))</f>
        <v/>
      </c>
      <c r="J102" s="83">
        <f>IF(AND(D102&lt;0,E102=0)=TRUE,0*D102,IF(AND(D102=0,E102&gt;0)=TRUE,0.98*E102,IF(D102=-E102,0.98*E102,IF(AND(D102=-20,E102=100)=TRUE,0.98*E102,IF(AND(D102=-35,E102=300)=TRUE,0.98*E102,IF(AND(D102=-100,E102=160)=TRUE,0.98*E102,IF(AND(D102=-100,E102=900)=TRUE,0.98*E102,"x")))))))</f>
        <v/>
      </c>
      <c r="K102" s="386" t="inlineStr">
        <is>
          <t>Pass</t>
        </is>
      </c>
      <c r="L102" s="387" t="inlineStr">
        <is>
          <t>-</t>
        </is>
      </c>
      <c r="M102" s="84">
        <f>F102</f>
        <v/>
      </c>
      <c r="N102" s="85">
        <f>G102</f>
        <v/>
      </c>
      <c r="O102" s="86">
        <f>H102</f>
        <v/>
      </c>
      <c r="P102" s="85">
        <f>I102</f>
        <v/>
      </c>
      <c r="Q102" s="87">
        <f>J102</f>
        <v/>
      </c>
      <c r="R102" s="388" t="inlineStr">
        <is>
          <t>kPa</t>
        </is>
      </c>
      <c r="S102" s="389">
        <f>IF(D102&lt;E102,(E102-D102)*0.002,"x")</f>
        <v/>
      </c>
      <c r="T102" s="388" t="n"/>
      <c r="U102" s="35" t="n"/>
    </row>
    <row r="103" ht="13" customHeight="1" thickBot="1">
      <c r="A103" s="38" t="n"/>
      <c r="B103" s="390" t="n"/>
      <c r="C103" s="390" t="n"/>
      <c r="D103" s="390" t="n"/>
      <c r="E103" s="391" t="n"/>
      <c r="F103" s="392" t="n"/>
      <c r="G103" s="393" t="n"/>
      <c r="H103" s="393" t="n"/>
      <c r="I103" s="393" t="n"/>
      <c r="J103" s="394" t="n"/>
      <c r="K103" s="390" t="n"/>
      <c r="L103" s="390" t="n"/>
      <c r="M103" s="392" t="n"/>
      <c r="N103" s="392" t="n"/>
      <c r="O103" s="392" t="n"/>
      <c r="P103" s="392" t="n"/>
      <c r="Q103" s="392" t="n"/>
      <c r="R103" s="390" t="n"/>
      <c r="S103" s="395" t="n"/>
      <c r="T103" s="390" t="n"/>
      <c r="U103" s="35" t="n"/>
    </row>
    <row r="104" ht="13" customHeight="1" thickBot="1">
      <c r="A104" s="38" t="n"/>
      <c r="B104" s="9" t="n"/>
      <c r="C104" s="9" t="n"/>
      <c r="D104" s="9" t="n"/>
      <c r="E104" s="9" t="inlineStr">
        <is>
          <t xml:space="preserve">         Pre-Cals. Checked By.</t>
        </is>
      </c>
      <c r="F104" s="377" t="inlineStr">
        <is>
          <t>CD</t>
        </is>
      </c>
      <c r="G104" s="378" t="n"/>
      <c r="H104" s="13" t="n"/>
      <c r="I104" s="13" t="n"/>
      <c r="J104" s="13" t="n"/>
      <c r="K104" s="13" t="n"/>
      <c r="L104" s="13" t="n"/>
      <c r="M104" s="13" t="n"/>
      <c r="N104" s="13" t="n"/>
      <c r="O104" s="13" t="n"/>
      <c r="P104" s="13" t="n"/>
      <c r="Q104" s="13" t="n"/>
      <c r="R104" s="13" t="n"/>
      <c r="S104" s="13" t="n"/>
      <c r="T104" s="13" t="n"/>
      <c r="U104" s="35" t="n"/>
    </row>
    <row r="105">
      <c r="A105" s="38" t="n"/>
      <c r="B105" s="22" t="n"/>
      <c r="C105" s="13" t="n"/>
      <c r="D105" s="13" t="n"/>
      <c r="E105" s="13" t="n"/>
      <c r="F105" s="13" t="n"/>
      <c r="G105" s="9" t="n"/>
      <c r="H105" s="9" t="n"/>
      <c r="I105" s="9" t="n"/>
      <c r="J105" s="9" t="n"/>
      <c r="K105" s="9" t="n"/>
      <c r="L105" s="12" t="n"/>
      <c r="M105" s="13" t="n"/>
      <c r="N105" s="396" t="n"/>
      <c r="O105" s="396" t="n"/>
      <c r="P105" s="13" t="n"/>
      <c r="Q105" s="13" t="n"/>
      <c r="R105" s="13" t="n"/>
      <c r="S105" s="13" t="n"/>
      <c r="T105" s="13" t="n"/>
      <c r="U105" s="35" t="n"/>
    </row>
    <row r="106" ht="13" customHeight="1" thickBot="1">
      <c r="A106" s="38" t="n"/>
      <c r="B106" s="22" t="n"/>
      <c r="C106" s="9" t="n"/>
      <c r="D106" s="9" t="n"/>
      <c r="E106" s="9" t="inlineStr">
        <is>
          <t xml:space="preserve">Pressure Calibrator Used. </t>
        </is>
      </c>
      <c r="F106" s="256" t="inlineStr">
        <is>
          <t>DEVT No.</t>
        </is>
      </c>
      <c r="G106" s="397" t="n"/>
      <c r="H106" s="256" t="inlineStr">
        <is>
          <t>Make / Model</t>
        </is>
      </c>
      <c r="I106" s="397" t="n"/>
      <c r="J106" s="397" t="n"/>
      <c r="K106" s="256" t="inlineStr">
        <is>
          <t>Serial Number</t>
        </is>
      </c>
      <c r="L106" s="397" t="n"/>
      <c r="M106" s="397" t="n"/>
      <c r="N106" s="256" t="inlineStr">
        <is>
          <t>Calibration Next Due</t>
        </is>
      </c>
      <c r="O106" s="397" t="n"/>
      <c r="P106" s="397" t="n"/>
      <c r="Q106" s="13" t="n"/>
      <c r="R106" s="13" t="n"/>
      <c r="S106" s="13" t="n"/>
      <c r="T106" s="13" t="n"/>
      <c r="U106" s="35" t="n"/>
    </row>
    <row r="107">
      <c r="A107" s="38" t="n"/>
      <c r="B107" s="22" t="n"/>
      <c r="C107" s="13" t="n"/>
      <c r="D107" s="13" t="n"/>
      <c r="E107" s="88" t="inlineStr">
        <is>
          <t xml:space="preserve">Range A. </t>
        </is>
      </c>
      <c r="F107" s="398" t="inlineStr">
        <is>
          <t>DEVT 892</t>
        </is>
      </c>
      <c r="G107" s="399" t="n"/>
      <c r="H107" s="400" t="inlineStr">
        <is>
          <t>Intelligent Automated Pressure Calibrator</t>
        </is>
      </c>
      <c r="I107" s="401" t="n"/>
      <c r="J107" s="399" t="n"/>
      <c r="K107" s="402" t="inlineStr">
        <is>
          <t>811AG22040080</t>
        </is>
      </c>
      <c r="L107" s="401" t="n"/>
      <c r="M107" s="399" t="n"/>
      <c r="N107" s="403" t="n">
        <v>45303</v>
      </c>
      <c r="O107" s="401" t="n"/>
      <c r="P107" s="404" t="n"/>
      <c r="Q107" s="396" t="n"/>
      <c r="R107" s="396" t="inlineStr">
        <is>
          <t>Where</t>
        </is>
      </c>
      <c r="S107" s="89" t="inlineStr">
        <is>
          <t>set point</t>
        </is>
      </c>
      <c r="T107" s="13" t="inlineStr">
        <is>
          <t>are the</t>
        </is>
      </c>
      <c r="U107" s="35" t="n"/>
    </row>
    <row r="108">
      <c r="A108" s="38" t="n"/>
      <c r="B108" s="22" t="n"/>
      <c r="C108" s="13" t="n"/>
      <c r="D108" s="13" t="n"/>
      <c r="E108" s="88" t="inlineStr">
        <is>
          <t xml:space="preserve">Range B. </t>
        </is>
      </c>
      <c r="F108" s="405" t="n"/>
      <c r="G108" s="406" t="n"/>
      <c r="H108" s="407" t="n"/>
      <c r="I108" s="408" t="n"/>
      <c r="J108" s="406" t="n"/>
      <c r="K108" s="409" t="n"/>
      <c r="L108" s="408" t="n"/>
      <c r="M108" s="406" t="n"/>
      <c r="N108" s="410" t="n"/>
      <c r="O108" s="408" t="n"/>
      <c r="P108" s="411" t="n"/>
      <c r="Q108" s="13" t="n"/>
      <c r="R108" s="13" t="n"/>
      <c r="S108" s="22" t="inlineStr">
        <is>
          <t>calibration points.</t>
        </is>
      </c>
      <c r="T108" s="12" t="n"/>
      <c r="U108" s="35" t="n"/>
    </row>
    <row r="109" ht="13" customHeight="1" thickBot="1">
      <c r="A109" s="38" t="n"/>
      <c r="B109" s="22" t="n"/>
      <c r="C109" s="13" t="n"/>
      <c r="D109" s="13" t="n"/>
      <c r="E109" s="88" t="inlineStr">
        <is>
          <t xml:space="preserve">Range C. </t>
        </is>
      </c>
      <c r="F109" s="412" t="n"/>
      <c r="G109" s="413" t="n"/>
      <c r="H109" s="414" t="n"/>
      <c r="I109" s="415" t="n"/>
      <c r="J109" s="413" t="n"/>
      <c r="K109" s="416" t="n"/>
      <c r="L109" s="415" t="n"/>
      <c r="M109" s="413" t="n"/>
      <c r="N109" s="417" t="n"/>
      <c r="O109" s="415" t="n"/>
      <c r="P109" s="418" t="n"/>
      <c r="Q109" s="9" t="n"/>
      <c r="R109" s="9" t="n"/>
      <c r="S109" s="13" t="n"/>
      <c r="T109" s="13" t="n"/>
      <c r="U109" s="35" t="n"/>
    </row>
    <row r="110" ht="13" customHeight="1" thickBot="1">
      <c r="A110" s="90" t="n"/>
      <c r="B110" s="91" t="n"/>
      <c r="C110" s="91" t="n"/>
      <c r="D110" s="91" t="n"/>
      <c r="E110" s="91" t="n"/>
      <c r="F110" s="91" t="n"/>
      <c r="G110" s="91" t="n"/>
      <c r="H110" s="91" t="n"/>
      <c r="I110" s="91" t="n"/>
      <c r="J110" s="91" t="n"/>
      <c r="K110" s="91" t="n"/>
      <c r="L110" s="91" t="n"/>
      <c r="M110" s="91" t="n"/>
      <c r="N110" s="91" t="n"/>
      <c r="O110" s="91" t="n"/>
      <c r="P110" s="92" t="n"/>
      <c r="Q110" s="91" t="n"/>
      <c r="R110" s="91" t="n"/>
      <c r="S110" s="91" t="n"/>
      <c r="T110" s="91" t="n"/>
      <c r="U110" s="39" t="n"/>
    </row>
    <row r="111" ht="13" customHeight="1" thickTop="1"/>
  </sheetData>
  <mergeCells count="406">
    <mergeCell ref="K88:K89"/>
    <mergeCell ref="R13:R14"/>
    <mergeCell ref="R84:R85"/>
    <mergeCell ref="E88:E89"/>
    <mergeCell ref="K106:M106"/>
    <mergeCell ref="F108:G108"/>
    <mergeCell ref="T78:T79"/>
    <mergeCell ref="D21:D22"/>
    <mergeCell ref="R15:R16"/>
    <mergeCell ref="R86:R87"/>
    <mergeCell ref="B29:B30"/>
    <mergeCell ref="H109:J109"/>
    <mergeCell ref="R80:R81"/>
    <mergeCell ref="B23:B24"/>
    <mergeCell ref="T80:T81"/>
    <mergeCell ref="K27:K28"/>
    <mergeCell ref="T92:T93"/>
    <mergeCell ref="F8:J8"/>
    <mergeCell ref="B37:B38"/>
    <mergeCell ref="B64:B65"/>
    <mergeCell ref="C27:C28"/>
    <mergeCell ref="D64:D65"/>
    <mergeCell ref="N108:P108"/>
    <mergeCell ref="R33:R34"/>
    <mergeCell ref="E25:E26"/>
    <mergeCell ref="K9:K10"/>
    <mergeCell ref="L66:L67"/>
    <mergeCell ref="B90:B91"/>
    <mergeCell ref="E13:E14"/>
    <mergeCell ref="R74:R75"/>
    <mergeCell ref="B17:B18"/>
    <mergeCell ref="E78:E79"/>
    <mergeCell ref="T74:T75"/>
    <mergeCell ref="S102:S103"/>
    <mergeCell ref="C45:C46"/>
    <mergeCell ref="D17:D18"/>
    <mergeCell ref="B11:B12"/>
    <mergeCell ref="L68:L69"/>
    <mergeCell ref="D11:D12"/>
    <mergeCell ref="L43:L44"/>
    <mergeCell ref="S39:S40"/>
    <mergeCell ref="C47:C48"/>
    <mergeCell ref="S37:S38"/>
    <mergeCell ref="C76:C77"/>
    <mergeCell ref="E27:E28"/>
    <mergeCell ref="F109:G109"/>
    <mergeCell ref="R100:R101"/>
    <mergeCell ref="K66:K67"/>
    <mergeCell ref="T94:T95"/>
    <mergeCell ref="D37:D38"/>
    <mergeCell ref="L21:L22"/>
    <mergeCell ref="R102:R103"/>
    <mergeCell ref="B45:B46"/>
    <mergeCell ref="T31:T32"/>
    <mergeCell ref="T102:T103"/>
    <mergeCell ref="N109:P109"/>
    <mergeCell ref="R23:R24"/>
    <mergeCell ref="D88:D89"/>
    <mergeCell ref="D90:D91"/>
    <mergeCell ref="D80:D81"/>
    <mergeCell ref="S27:S28"/>
    <mergeCell ref="C84:C85"/>
    <mergeCell ref="E84:E85"/>
    <mergeCell ref="L74:L75"/>
    <mergeCell ref="R21:R22"/>
    <mergeCell ref="B98:B99"/>
    <mergeCell ref="E15:E16"/>
    <mergeCell ref="E86:E87"/>
    <mergeCell ref="L76:L77"/>
    <mergeCell ref="T100:T101"/>
    <mergeCell ref="H107:J107"/>
    <mergeCell ref="L9:L10"/>
    <mergeCell ref="T66:T67"/>
    <mergeCell ref="B33:B34"/>
    <mergeCell ref="T90:T91"/>
    <mergeCell ref="L90:L91"/>
    <mergeCell ref="L11:L12"/>
    <mergeCell ref="K74:K75"/>
    <mergeCell ref="K68:K69"/>
    <mergeCell ref="N53:P53"/>
    <mergeCell ref="R39:R40"/>
    <mergeCell ref="E43:E44"/>
    <mergeCell ref="K76:K77"/>
    <mergeCell ref="B47:B48"/>
    <mergeCell ref="B96:B97"/>
    <mergeCell ref="D96:D97"/>
    <mergeCell ref="L37:L38"/>
    <mergeCell ref="K52:M52"/>
    <mergeCell ref="L64:L65"/>
    <mergeCell ref="T88:T89"/>
    <mergeCell ref="F51:G51"/>
    <mergeCell ref="L88:L89"/>
    <mergeCell ref="K53:M53"/>
    <mergeCell ref="D33:D34"/>
    <mergeCell ref="K23:K24"/>
    <mergeCell ref="C72:C73"/>
    <mergeCell ref="T23:T24"/>
    <mergeCell ref="C96:C97"/>
    <mergeCell ref="N54:P54"/>
    <mergeCell ref="M8:Q8"/>
    <mergeCell ref="E100:E101"/>
    <mergeCell ref="H54:J54"/>
    <mergeCell ref="B66:B67"/>
    <mergeCell ref="L17:L18"/>
    <mergeCell ref="N51:P51"/>
    <mergeCell ref="T39:T40"/>
    <mergeCell ref="B41:B42"/>
    <mergeCell ref="E102:E103"/>
    <mergeCell ref="K64:K65"/>
    <mergeCell ref="L98:L99"/>
    <mergeCell ref="D35:D36"/>
    <mergeCell ref="D84:D85"/>
    <mergeCell ref="L19:L20"/>
    <mergeCell ref="E39:E40"/>
    <mergeCell ref="B43:B44"/>
    <mergeCell ref="N107:P107"/>
    <mergeCell ref="B86:B87"/>
    <mergeCell ref="D86:D87"/>
    <mergeCell ref="F63:J63"/>
    <mergeCell ref="S23:S24"/>
    <mergeCell ref="S66:S67"/>
    <mergeCell ref="R70:R71"/>
    <mergeCell ref="T21:T22"/>
    <mergeCell ref="K90:K91"/>
    <mergeCell ref="K82:K83"/>
    <mergeCell ref="S68:S69"/>
    <mergeCell ref="L45:L46"/>
    <mergeCell ref="T11:T12"/>
    <mergeCell ref="R96:R97"/>
    <mergeCell ref="T96:T97"/>
    <mergeCell ref="L96:L97"/>
    <mergeCell ref="C86:C87"/>
    <mergeCell ref="T27:T28"/>
    <mergeCell ref="T98:T99"/>
    <mergeCell ref="L80:L81"/>
    <mergeCell ref="K37:K38"/>
    <mergeCell ref="S4:T4"/>
    <mergeCell ref="C98:C99"/>
    <mergeCell ref="F54:G54"/>
    <mergeCell ref="E64:E65"/>
    <mergeCell ref="K72:K73"/>
    <mergeCell ref="T9:T10"/>
    <mergeCell ref="A57:U57"/>
    <mergeCell ref="L33:L34"/>
    <mergeCell ref="R17:R18"/>
    <mergeCell ref="T17:T18"/>
    <mergeCell ref="L35:L36"/>
    <mergeCell ref="L84:L85"/>
    <mergeCell ref="K17:K18"/>
    <mergeCell ref="S74:S75"/>
    <mergeCell ref="C17:C18"/>
    <mergeCell ref="C82:C83"/>
    <mergeCell ref="D102:D103"/>
    <mergeCell ref="L86:L87"/>
    <mergeCell ref="K19:K20"/>
    <mergeCell ref="S76:S77"/>
    <mergeCell ref="C19:C20"/>
    <mergeCell ref="D39:D40"/>
    <mergeCell ref="S88:S89"/>
    <mergeCell ref="T37:T38"/>
    <mergeCell ref="S11:S12"/>
    <mergeCell ref="T45:T46"/>
    <mergeCell ref="H52:J52"/>
    <mergeCell ref="H108:J108"/>
    <mergeCell ref="K45:K46"/>
    <mergeCell ref="B82:B83"/>
    <mergeCell ref="T68:T69"/>
    <mergeCell ref="K11:K12"/>
    <mergeCell ref="K47:K48"/>
    <mergeCell ref="K96:K97"/>
    <mergeCell ref="C70:C71"/>
    <mergeCell ref="B9:B10"/>
    <mergeCell ref="K98:K99"/>
    <mergeCell ref="E70:E71"/>
    <mergeCell ref="E80:E81"/>
    <mergeCell ref="S64:S65"/>
    <mergeCell ref="L41:L42"/>
    <mergeCell ref="C78:C79"/>
    <mergeCell ref="T19:T20"/>
    <mergeCell ref="R92:R93"/>
    <mergeCell ref="M59:O59"/>
    <mergeCell ref="T33:T34"/>
    <mergeCell ref="K51:M51"/>
    <mergeCell ref="B72:B73"/>
    <mergeCell ref="S96:S97"/>
    <mergeCell ref="K33:K34"/>
    <mergeCell ref="S90:S91"/>
    <mergeCell ref="B70:B71"/>
    <mergeCell ref="C33:C34"/>
    <mergeCell ref="D70:D71"/>
    <mergeCell ref="E33:E34"/>
    <mergeCell ref="R94:R95"/>
    <mergeCell ref="S17:S18"/>
    <mergeCell ref="H4:I4"/>
    <mergeCell ref="L102:L103"/>
    <mergeCell ref="K41:K42"/>
    <mergeCell ref="K35:K36"/>
    <mergeCell ref="C35:C36"/>
    <mergeCell ref="K84:K85"/>
    <mergeCell ref="E35:E36"/>
    <mergeCell ref="S19:S20"/>
    <mergeCell ref="B88:B89"/>
    <mergeCell ref="F104:G104"/>
    <mergeCell ref="K86:K87"/>
    <mergeCell ref="R76:R77"/>
    <mergeCell ref="B19:B20"/>
    <mergeCell ref="T76:T77"/>
    <mergeCell ref="F106:G106"/>
    <mergeCell ref="S45:S46"/>
    <mergeCell ref="C13:C14"/>
    <mergeCell ref="K25:K26"/>
    <mergeCell ref="S72:S73"/>
    <mergeCell ref="M63:Q63"/>
    <mergeCell ref="S47:S48"/>
    <mergeCell ref="C15:C16"/>
    <mergeCell ref="R29:R30"/>
    <mergeCell ref="C92:C93"/>
    <mergeCell ref="E92:E93"/>
    <mergeCell ref="S86:S87"/>
    <mergeCell ref="C29:C30"/>
    <mergeCell ref="R31:R32"/>
    <mergeCell ref="C94:C95"/>
    <mergeCell ref="E23:E24"/>
    <mergeCell ref="T35:T36"/>
    <mergeCell ref="B13:B14"/>
    <mergeCell ref="E74:E75"/>
    <mergeCell ref="D13:D14"/>
    <mergeCell ref="S98:S99"/>
    <mergeCell ref="B78:B79"/>
    <mergeCell ref="T64:T65"/>
    <mergeCell ref="C41:C42"/>
    <mergeCell ref="D78:D79"/>
    <mergeCell ref="L39:L40"/>
    <mergeCell ref="R72:R73"/>
    <mergeCell ref="B15:B16"/>
    <mergeCell ref="E76:E77"/>
    <mergeCell ref="T72:T73"/>
    <mergeCell ref="K43:K44"/>
    <mergeCell ref="B80:B81"/>
    <mergeCell ref="C43:C44"/>
    <mergeCell ref="D15:D16"/>
    <mergeCell ref="S33:S34"/>
    <mergeCell ref="K108:M108"/>
    <mergeCell ref="S35:S36"/>
    <mergeCell ref="R88:R89"/>
    <mergeCell ref="E21:E22"/>
    <mergeCell ref="N106:P106"/>
    <mergeCell ref="F107:G107"/>
    <mergeCell ref="R82:R83"/>
    <mergeCell ref="T82:T83"/>
    <mergeCell ref="B25:B26"/>
    <mergeCell ref="L82:L83"/>
    <mergeCell ref="R98:R99"/>
    <mergeCell ref="K29:K30"/>
    <mergeCell ref="B35:B36"/>
    <mergeCell ref="R19:R20"/>
    <mergeCell ref="K109:M109"/>
    <mergeCell ref="C100:C101"/>
    <mergeCell ref="C31:C32"/>
    <mergeCell ref="E31:E32"/>
    <mergeCell ref="R45:R46"/>
    <mergeCell ref="B84:B85"/>
    <mergeCell ref="M4:O4"/>
    <mergeCell ref="R47:R48"/>
    <mergeCell ref="D25:D26"/>
    <mergeCell ref="L72:L73"/>
    <mergeCell ref="B92:B93"/>
    <mergeCell ref="L70:L71"/>
    <mergeCell ref="B94:B95"/>
    <mergeCell ref="D23:D24"/>
    <mergeCell ref="D94:D95"/>
    <mergeCell ref="S41:S42"/>
    <mergeCell ref="B31:B32"/>
    <mergeCell ref="S43:S44"/>
    <mergeCell ref="E29:E30"/>
    <mergeCell ref="D76:D77"/>
    <mergeCell ref="C80:C81"/>
    <mergeCell ref="R27:R28"/>
    <mergeCell ref="K70:K71"/>
    <mergeCell ref="L25:L26"/>
    <mergeCell ref="T70:T71"/>
    <mergeCell ref="R35:R36"/>
    <mergeCell ref="T84:T85"/>
    <mergeCell ref="D92:D93"/>
    <mergeCell ref="E72:E73"/>
    <mergeCell ref="C39:C40"/>
    <mergeCell ref="H53:J53"/>
    <mergeCell ref="T86:T87"/>
    <mergeCell ref="D29:D30"/>
    <mergeCell ref="R9:R10"/>
    <mergeCell ref="F49:G49"/>
    <mergeCell ref="D31:D32"/>
    <mergeCell ref="R11:R12"/>
    <mergeCell ref="E96:E97"/>
    <mergeCell ref="B100:B101"/>
    <mergeCell ref="E17:E18"/>
    <mergeCell ref="L13:L14"/>
    <mergeCell ref="L78:L79"/>
    <mergeCell ref="N52:P52"/>
    <mergeCell ref="E98:E99"/>
    <mergeCell ref="B102:B103"/>
    <mergeCell ref="E19:E20"/>
    <mergeCell ref="L15:L16"/>
    <mergeCell ref="B39:B40"/>
    <mergeCell ref="L92:L93"/>
    <mergeCell ref="K107:M107"/>
    <mergeCell ref="S82:S83"/>
    <mergeCell ref="C25:C26"/>
    <mergeCell ref="S9:S10"/>
    <mergeCell ref="R37:R38"/>
    <mergeCell ref="L23:L24"/>
    <mergeCell ref="R66:R67"/>
    <mergeCell ref="H106:J106"/>
    <mergeCell ref="R41:R42"/>
    <mergeCell ref="K13:K14"/>
    <mergeCell ref="E45:E46"/>
    <mergeCell ref="K78:K79"/>
    <mergeCell ref="R68:R69"/>
    <mergeCell ref="F52:G52"/>
    <mergeCell ref="D19:D20"/>
    <mergeCell ref="R43:R44"/>
    <mergeCell ref="E47:E48"/>
    <mergeCell ref="T43:T44"/>
    <mergeCell ref="K54:M54"/>
    <mergeCell ref="D100:D101"/>
    <mergeCell ref="F53:G53"/>
    <mergeCell ref="D45:D46"/>
    <mergeCell ref="R25:R26"/>
    <mergeCell ref="T25:T26"/>
    <mergeCell ref="D72:D73"/>
    <mergeCell ref="D47:D48"/>
    <mergeCell ref="T41:T42"/>
    <mergeCell ref="L100:L101"/>
    <mergeCell ref="C66:C67"/>
    <mergeCell ref="L94:L95"/>
    <mergeCell ref="T13:T14"/>
    <mergeCell ref="E41:E42"/>
    <mergeCell ref="L31:L32"/>
    <mergeCell ref="T15:T16"/>
    <mergeCell ref="D98:D99"/>
    <mergeCell ref="S25:S26"/>
    <mergeCell ref="K15:K16"/>
    <mergeCell ref="K80:K81"/>
    <mergeCell ref="H51:J51"/>
    <mergeCell ref="K92:K93"/>
    <mergeCell ref="B27:B28"/>
    <mergeCell ref="D27:D28"/>
    <mergeCell ref="S59:T59"/>
    <mergeCell ref="S70:S71"/>
    <mergeCell ref="K94:K95"/>
    <mergeCell ref="L29:L30"/>
    <mergeCell ref="D9:D10"/>
    <mergeCell ref="S80:S81"/>
    <mergeCell ref="E66:E67"/>
    <mergeCell ref="C102:C103"/>
    <mergeCell ref="C74:C75"/>
    <mergeCell ref="C68:C69"/>
    <mergeCell ref="R64:R65"/>
    <mergeCell ref="E68:E69"/>
    <mergeCell ref="E82:E83"/>
    <mergeCell ref="T29:T30"/>
    <mergeCell ref="K100:K101"/>
    <mergeCell ref="A2:U2"/>
    <mergeCell ref="D66:D67"/>
    <mergeCell ref="S13:S14"/>
    <mergeCell ref="S84:S85"/>
    <mergeCell ref="E94:E95"/>
    <mergeCell ref="S78:S79"/>
    <mergeCell ref="C21:C22"/>
    <mergeCell ref="D41:D42"/>
    <mergeCell ref="K31:K32"/>
    <mergeCell ref="K102:K103"/>
    <mergeCell ref="B68:B69"/>
    <mergeCell ref="D68:D69"/>
    <mergeCell ref="S15:S16"/>
    <mergeCell ref="C23:C24"/>
    <mergeCell ref="D43:D44"/>
    <mergeCell ref="C64:C65"/>
    <mergeCell ref="R78:R79"/>
    <mergeCell ref="B21:B22"/>
    <mergeCell ref="T47:T48"/>
    <mergeCell ref="K21:K22"/>
    <mergeCell ref="L47:L48"/>
    <mergeCell ref="C88:C89"/>
    <mergeCell ref="R90:R91"/>
    <mergeCell ref="C9:C10"/>
    <mergeCell ref="H59:I59"/>
    <mergeCell ref="E9:E10"/>
    <mergeCell ref="C90:C91"/>
    <mergeCell ref="E90:E91"/>
    <mergeCell ref="C11:C12"/>
    <mergeCell ref="K39:K40"/>
    <mergeCell ref="E11:E12"/>
    <mergeCell ref="B74:B75"/>
    <mergeCell ref="D74:D75"/>
    <mergeCell ref="S92:S93"/>
    <mergeCell ref="B76:B77"/>
    <mergeCell ref="L27:L28"/>
    <mergeCell ref="D82:D83"/>
    <mergeCell ref="S29:S30"/>
    <mergeCell ref="S100:S101"/>
    <mergeCell ref="S94:S95"/>
    <mergeCell ref="C37:C38"/>
    <mergeCell ref="E37:E38"/>
    <mergeCell ref="S21:S22"/>
    <mergeCell ref="S31:S32"/>
  </mergeCells>
  <conditionalFormatting sqref="F12">
    <cfRule type="cellIs" priority="247" operator="notBetween" dxfId="1" stopIfTrue="1">
      <formula>F$11-$S$11</formula>
      <formula>F$11+$S$11</formula>
    </cfRule>
    <cfRule type="cellIs" priority="248" operator="notBetween" dxfId="0" stopIfTrue="1">
      <formula>F$11-$S$11*0.8</formula>
      <formula>F$11+$S$11*0.8</formula>
    </cfRule>
  </conditionalFormatting>
  <conditionalFormatting sqref="G12:J12">
    <cfRule type="cellIs" priority="245" operator="notBetween" dxfId="1" stopIfTrue="1">
      <formula>G$11-$S$11</formula>
      <formula>G$11+$S$11</formula>
    </cfRule>
    <cfRule type="cellIs" priority="246" operator="notBetween" dxfId="0" stopIfTrue="1">
      <formula>G$11-$S$11*0.8</formula>
      <formula>G$11+$S$11*0.8</formula>
    </cfRule>
  </conditionalFormatting>
  <conditionalFormatting sqref="M12">
    <cfRule type="cellIs" priority="243" operator="notBetween" dxfId="1" stopIfTrue="1">
      <formula>M$11-$S$11</formula>
      <formula>M$11+$S$11</formula>
    </cfRule>
    <cfRule type="cellIs" priority="244" operator="notBetween" dxfId="0" stopIfTrue="1">
      <formula>M$11-$S$11*0.8</formula>
      <formula>M$11+$S$11*0.8</formula>
    </cfRule>
  </conditionalFormatting>
  <conditionalFormatting sqref="N12:Q12">
    <cfRule type="cellIs" priority="241" operator="notBetween" dxfId="1" stopIfTrue="1">
      <formula>N$11-$S$11</formula>
      <formula>N$11+$S$11</formula>
    </cfRule>
    <cfRule type="cellIs" priority="242" operator="notBetween" dxfId="0" stopIfTrue="1">
      <formula>N$11-$S$11*0.8</formula>
      <formula>N$11+$S$11*0.8</formula>
    </cfRule>
  </conditionalFormatting>
  <conditionalFormatting sqref="F14">
    <cfRule type="cellIs" priority="239" operator="notBetween" dxfId="1" stopIfTrue="1">
      <formula>F$13-$S$13</formula>
      <formula>F$13+$S$13</formula>
    </cfRule>
    <cfRule type="cellIs" priority="240" operator="notBetween" dxfId="0" stopIfTrue="1">
      <formula>F$13-$S$13*0.8</formula>
      <formula>F$13+$S$13*0.8</formula>
    </cfRule>
  </conditionalFormatting>
  <conditionalFormatting sqref="G14:J14">
    <cfRule type="cellIs" priority="237" operator="notBetween" dxfId="1" stopIfTrue="1">
      <formula>G$13-$S$13</formula>
      <formula>G$13+$S$13</formula>
    </cfRule>
    <cfRule type="cellIs" priority="238" operator="notBetween" dxfId="0" stopIfTrue="1">
      <formula>G$13-$S$13*0.8</formula>
      <formula>G$13+$S$13*0.8</formula>
    </cfRule>
  </conditionalFormatting>
  <conditionalFormatting sqref="M14">
    <cfRule type="cellIs" priority="235" operator="notBetween" dxfId="1" stopIfTrue="1">
      <formula>M$13-$S$13</formula>
      <formula>M$13+$S$13</formula>
    </cfRule>
    <cfRule type="cellIs" priority="236" operator="notBetween" dxfId="0" stopIfTrue="1">
      <formula>M$13-$S$13*0.8</formula>
      <formula>M$13+$S$13*0.8</formula>
    </cfRule>
  </conditionalFormatting>
  <conditionalFormatting sqref="F16">
    <cfRule type="cellIs" priority="231" operator="notBetween" dxfId="1" stopIfTrue="1">
      <formula>F$15-$S$15</formula>
      <formula>F$15+$S$15</formula>
    </cfRule>
    <cfRule type="cellIs" priority="232" operator="notBetween" dxfId="0" stopIfTrue="1">
      <formula>F$15-$S$15*0.8</formula>
      <formula>F$15+$S$15*0.8</formula>
    </cfRule>
  </conditionalFormatting>
  <conditionalFormatting sqref="G16:J16">
    <cfRule type="cellIs" priority="229" operator="notBetween" dxfId="1" stopIfTrue="1">
      <formula>G$15-$S$15</formula>
      <formula>G$15+$S$15</formula>
    </cfRule>
    <cfRule type="cellIs" priority="230" operator="notBetween" dxfId="0" stopIfTrue="1">
      <formula>G$15-$S$15*0.8</formula>
      <formula>G$15+$S$15*0.8</formula>
    </cfRule>
  </conditionalFormatting>
  <conditionalFormatting sqref="M16">
    <cfRule type="cellIs" priority="227" operator="notBetween" dxfId="1" stopIfTrue="1">
      <formula>M$15-$S$15</formula>
      <formula>M$15+$S$15</formula>
    </cfRule>
    <cfRule type="cellIs" priority="228" operator="notBetween" dxfId="0" stopIfTrue="1">
      <formula>M$15-$S$15*0.8</formula>
      <formula>M$15+$S$15*0.8</formula>
    </cfRule>
  </conditionalFormatting>
  <conditionalFormatting sqref="N16:Q16">
    <cfRule type="cellIs" priority="225" operator="notBetween" dxfId="1" stopIfTrue="1">
      <formula>N$15-$S$15</formula>
      <formula>N$15+$S$15</formula>
    </cfRule>
    <cfRule type="cellIs" priority="226" operator="notBetween" dxfId="0" stopIfTrue="1">
      <formula>N$15-$S$15*0.8</formula>
      <formula>N$15+$S$15*0.8</formula>
    </cfRule>
  </conditionalFormatting>
  <conditionalFormatting sqref="F18:J18">
    <cfRule type="cellIs" priority="223" operator="notBetween" dxfId="1" stopIfTrue="1">
      <formula>F$17-$S$17</formula>
      <formula>F$17+$S$17</formula>
    </cfRule>
    <cfRule type="cellIs" priority="224" operator="notBetween" dxfId="0" stopIfTrue="1">
      <formula>F$17-$S$17*0.8</formula>
      <formula>F$17+$S$17*0.8</formula>
    </cfRule>
  </conditionalFormatting>
  <conditionalFormatting sqref="K9:K18">
    <cfRule type="containsText" priority="215" operator="containsText" dxfId="223" text="Fail">
      <formula>NOT(ISERROR(SEARCH("Fail",K9)))</formula>
    </cfRule>
    <cfRule type="containsText" priority="222" operator="containsText" dxfId="222" text="Pass">
      <formula>NOT(ISERROR(SEARCH("Pass",K9)))</formula>
    </cfRule>
  </conditionalFormatting>
  <conditionalFormatting sqref="F10:J10">
    <cfRule type="cellIs" priority="220" operator="notBetween" dxfId="1" stopIfTrue="1">
      <formula>F$9-$S$9</formula>
      <formula>F$9+$S$9</formula>
    </cfRule>
    <cfRule type="cellIs" priority="221" operator="notBetween" dxfId="0" stopIfTrue="1">
      <formula>F$9-$S$9*0.8</formula>
      <formula>F$9+$S$9*0.8</formula>
    </cfRule>
  </conditionalFormatting>
  <conditionalFormatting sqref="M10:Q10">
    <cfRule type="cellIs" priority="218" operator="notBetween" dxfId="1" stopIfTrue="1">
      <formula>M$9-$S$9</formula>
      <formula>M$9+$S$9</formula>
    </cfRule>
    <cfRule type="cellIs" priority="219" operator="notBetween" dxfId="0" stopIfTrue="1">
      <formula>M$9-$S$9*0.8</formula>
      <formula>M$9+$S$9*0.8</formula>
    </cfRule>
  </conditionalFormatting>
  <conditionalFormatting sqref="M14:Q14">
    <cfRule type="cellIs" priority="233" operator="notBetween" dxfId="1" stopIfTrue="1">
      <formula>M$13-$S$13</formula>
      <formula>M$13+$S$13</formula>
    </cfRule>
    <cfRule type="cellIs" priority="234" operator="notBetween" dxfId="0" stopIfTrue="1">
      <formula>M$13-$S$13*0.8</formula>
      <formula>M$13+$S$13*0.8</formula>
    </cfRule>
  </conditionalFormatting>
  <conditionalFormatting sqref="M18:Q18">
    <cfRule type="cellIs" priority="216" operator="notBetween" dxfId="1" stopIfTrue="1">
      <formula>M$17-$S$17</formula>
      <formula>M$17+$S$17</formula>
    </cfRule>
    <cfRule type="cellIs" priority="217" operator="notBetween" dxfId="0" stopIfTrue="1">
      <formula>M$17-$S$17*0.8</formula>
      <formula>M$17+$S$17*0.8</formula>
    </cfRule>
  </conditionalFormatting>
  <conditionalFormatting sqref="F20:J20">
    <cfRule type="cellIs" priority="213" operator="notBetween" dxfId="1" stopIfTrue="1">
      <formula>F$17-$S$17</formula>
      <formula>F$17+$S$17</formula>
    </cfRule>
    <cfRule type="cellIs" priority="214" operator="notBetween" dxfId="0" stopIfTrue="1">
      <formula>F$17-$S$17*0.8</formula>
      <formula>F$17+$S$17*0.8</formula>
    </cfRule>
  </conditionalFormatting>
  <conditionalFormatting sqref="K19:K20">
    <cfRule type="containsText" priority="209" operator="containsText" dxfId="223" text="Fail">
      <formula>NOT(ISERROR(SEARCH("Fail",K19)))</formula>
    </cfRule>
    <cfRule type="containsText" priority="212" operator="containsText" dxfId="222" text="Pass">
      <formula>NOT(ISERROR(SEARCH("Pass",K19)))</formula>
    </cfRule>
  </conditionalFormatting>
  <conditionalFormatting sqref="M20:Q20">
    <cfRule type="cellIs" priority="210" operator="notBetween" dxfId="1" stopIfTrue="1">
      <formula>M$17-$S$17</formula>
      <formula>M$17+$S$17</formula>
    </cfRule>
    <cfRule type="cellIs" priority="211" operator="notBetween" dxfId="0" stopIfTrue="1">
      <formula>M$17-$S$17*0.8</formula>
      <formula>M$17+$S$17*0.8</formula>
    </cfRule>
  </conditionalFormatting>
  <conditionalFormatting sqref="F22:J22">
    <cfRule type="cellIs" priority="207" operator="notBetween" dxfId="1" stopIfTrue="1">
      <formula>F$21-$S$21</formula>
      <formula>F$21+$S$21</formula>
    </cfRule>
    <cfRule type="cellIs" priority="208" operator="notBetween" dxfId="0" stopIfTrue="1">
      <formula>F$21-$S$21*0.8</formula>
      <formula>F$21+$S$21*0.8</formula>
    </cfRule>
  </conditionalFormatting>
  <conditionalFormatting sqref="K21:K22">
    <cfRule type="containsText" priority="205" operator="containsText" dxfId="223" text="Fail">
      <formula>NOT(ISERROR(SEARCH("Fail",K21)))</formula>
    </cfRule>
    <cfRule type="containsText" priority="206" operator="containsText" dxfId="222" text="Pass">
      <formula>NOT(ISERROR(SEARCH("Pass",K21)))</formula>
    </cfRule>
  </conditionalFormatting>
  <conditionalFormatting sqref="F24:J24">
    <cfRule type="cellIs" priority="203" operator="notBetween" dxfId="1" stopIfTrue="1">
      <formula>F$23-$S$23</formula>
      <formula>F$23+$S$23</formula>
    </cfRule>
    <cfRule type="cellIs" priority="204" operator="notBetween" dxfId="0" stopIfTrue="1">
      <formula>F$23-$S$23*0.8</formula>
      <formula>F$23+$S$23*0.8</formula>
    </cfRule>
  </conditionalFormatting>
  <conditionalFormatting sqref="K23:K24">
    <cfRule type="containsText" priority="201" operator="containsText" dxfId="223" text="Fail">
      <formula>NOT(ISERROR(SEARCH("Fail",K23)))</formula>
    </cfRule>
    <cfRule type="containsText" priority="202" operator="containsText" dxfId="222" text="Pass">
      <formula>NOT(ISERROR(SEARCH("Pass",K23)))</formula>
    </cfRule>
  </conditionalFormatting>
  <conditionalFormatting sqref="F26:J26">
    <cfRule type="cellIs" priority="199" operator="notBetween" dxfId="1" stopIfTrue="1">
      <formula>F$25-$S$25</formula>
      <formula>F$25+$S$25</formula>
    </cfRule>
    <cfRule type="cellIs" priority="200" operator="notBetween" dxfId="0" stopIfTrue="1">
      <formula>F$25-$S$25*0.8</formula>
      <formula>F$25+$S$25*0.8</formula>
    </cfRule>
  </conditionalFormatting>
  <conditionalFormatting sqref="K25:K26">
    <cfRule type="containsText" priority="197" operator="containsText" dxfId="223" text="Fail">
      <formula>NOT(ISERROR(SEARCH("Fail",K25)))</formula>
    </cfRule>
    <cfRule type="containsText" priority="198" operator="containsText" dxfId="222" text="Pass">
      <formula>NOT(ISERROR(SEARCH("Pass",K25)))</formula>
    </cfRule>
  </conditionalFormatting>
  <conditionalFormatting sqref="F28:J28">
    <cfRule type="cellIs" priority="195" operator="notBetween" dxfId="1" stopIfTrue="1">
      <formula>F$27-$S$27</formula>
      <formula>F$27+$S$27</formula>
    </cfRule>
    <cfRule type="cellIs" priority="196" operator="notBetween" dxfId="0" stopIfTrue="1">
      <formula>F$27-$S$27*0.8</formula>
      <formula>F$27+$S$27*0.8</formula>
    </cfRule>
  </conditionalFormatting>
  <conditionalFormatting sqref="K27:K28">
    <cfRule type="containsText" priority="193" operator="containsText" dxfId="223" text="Fail">
      <formula>NOT(ISERROR(SEARCH("Fail",K27)))</formula>
    </cfRule>
    <cfRule type="containsText" priority="194" operator="containsText" dxfId="222" text="Pass">
      <formula>NOT(ISERROR(SEARCH("Pass",K27)))</formula>
    </cfRule>
  </conditionalFormatting>
  <conditionalFormatting sqref="F30:J30">
    <cfRule type="cellIs" priority="191" operator="notBetween" dxfId="1" stopIfTrue="1">
      <formula>F$17-$S$17</formula>
      <formula>F$17+$S$17</formula>
    </cfRule>
    <cfRule type="cellIs" priority="192" operator="notBetween" dxfId="0" stopIfTrue="1">
      <formula>F$17-$S$17*0.8</formula>
      <formula>F$17+$S$17*0.8</formula>
    </cfRule>
  </conditionalFormatting>
  <conditionalFormatting sqref="K29:K30">
    <cfRule type="containsText" priority="187" operator="containsText" dxfId="223" text="Fail">
      <formula>NOT(ISERROR(SEARCH("Fail",K29)))</formula>
    </cfRule>
    <cfRule type="containsText" priority="190" operator="containsText" dxfId="222" text="Pass">
      <formula>NOT(ISERROR(SEARCH("Pass",K29)))</formula>
    </cfRule>
  </conditionalFormatting>
  <conditionalFormatting sqref="M30:Q30">
    <cfRule type="cellIs" priority="188" operator="notBetween" dxfId="1" stopIfTrue="1">
      <formula>M$17-$S$17</formula>
      <formula>M$17+$S$17</formula>
    </cfRule>
    <cfRule type="cellIs" priority="189" operator="notBetween" dxfId="0" stopIfTrue="1">
      <formula>M$17-$S$17*0.8</formula>
      <formula>M$17+$S$17*0.8</formula>
    </cfRule>
  </conditionalFormatting>
  <conditionalFormatting sqref="F32:J32">
    <cfRule type="cellIs" priority="185" operator="notBetween" dxfId="1" stopIfTrue="1">
      <formula>F$31-$S$31</formula>
      <formula>F$31+$S$31</formula>
    </cfRule>
    <cfRule type="cellIs" priority="186" operator="notBetween" dxfId="0" stopIfTrue="1">
      <formula>F$31-$S$31*0.8</formula>
      <formula>F$31+$S$31*0.8</formula>
    </cfRule>
  </conditionalFormatting>
  <conditionalFormatting sqref="K31:K32">
    <cfRule type="containsText" priority="183" operator="containsText" dxfId="223" text="Fail">
      <formula>NOT(ISERROR(SEARCH("Fail",K31)))</formula>
    </cfRule>
    <cfRule type="containsText" priority="184" operator="containsText" dxfId="222" text="Pass">
      <formula>NOT(ISERROR(SEARCH("Pass",K31)))</formula>
    </cfRule>
  </conditionalFormatting>
  <conditionalFormatting sqref="K33:K34">
    <cfRule type="containsText" priority="177" operator="containsText" dxfId="223" text="Fail">
      <formula>NOT(ISERROR(SEARCH("Fail",K33)))</formula>
    </cfRule>
    <cfRule type="containsText" priority="180" operator="containsText" dxfId="222" text="Pass">
      <formula>NOT(ISERROR(SEARCH("Pass",K33)))</formula>
    </cfRule>
  </conditionalFormatting>
  <conditionalFormatting sqref="K35:K36">
    <cfRule type="containsText" priority="173" operator="containsText" dxfId="223" text="Fail">
      <formula>NOT(ISERROR(SEARCH("Fail",K35)))</formula>
    </cfRule>
    <cfRule type="containsText" priority="176" operator="containsText" dxfId="222" text="Pass">
      <formula>NOT(ISERROR(SEARCH("Pass",K35)))</formula>
    </cfRule>
  </conditionalFormatting>
  <conditionalFormatting sqref="M36:Q36">
    <cfRule type="cellIs" priority="174" operator="notBetween" dxfId="1" stopIfTrue="1">
      <formula>M$17-$S$17</formula>
      <formula>M$17+$S$17</formula>
    </cfRule>
    <cfRule type="cellIs" priority="175" operator="notBetween" dxfId="0" stopIfTrue="1">
      <formula>M$17-$S$17*0.8</formula>
      <formula>M$17+$S$17*0.8</formula>
    </cfRule>
  </conditionalFormatting>
  <conditionalFormatting sqref="K37:K38">
    <cfRule type="containsText" priority="169" operator="containsText" dxfId="223" text="Fail">
      <formula>NOT(ISERROR(SEARCH("Fail",K37)))</formula>
    </cfRule>
    <cfRule type="containsText" priority="172" operator="containsText" dxfId="222" text="Pass">
      <formula>NOT(ISERROR(SEARCH("Pass",K37)))</formula>
    </cfRule>
  </conditionalFormatting>
  <conditionalFormatting sqref="M38:Q38">
    <cfRule type="cellIs" priority="170" operator="notBetween" dxfId="1" stopIfTrue="1">
      <formula>M$17-$S$17</formula>
      <formula>M$17+$S$17</formula>
    </cfRule>
    <cfRule type="cellIs" priority="171" operator="notBetween" dxfId="0" stopIfTrue="1">
      <formula>M$17-$S$17*0.8</formula>
      <formula>M$17+$S$17*0.8</formula>
    </cfRule>
  </conditionalFormatting>
  <conditionalFormatting sqref="K39:K40">
    <cfRule type="containsText" priority="167" operator="containsText" dxfId="223" text="Fail">
      <formula>NOT(ISERROR(SEARCH("Fail",K39)))</formula>
    </cfRule>
    <cfRule type="containsText" priority="168" operator="containsText" dxfId="222" text="Pass">
      <formula>NOT(ISERROR(SEARCH("Pass",K39)))</formula>
    </cfRule>
  </conditionalFormatting>
  <conditionalFormatting sqref="F42:J42">
    <cfRule type="cellIs" priority="165" operator="notBetween" dxfId="1" stopIfTrue="1">
      <formula>F$41-$S$41</formula>
      <formula>F$41+$S$41</formula>
    </cfRule>
    <cfRule type="cellIs" priority="166" operator="notBetween" dxfId="0" stopIfTrue="1">
      <formula>F$41-$S$41*0.8</formula>
      <formula>F$41+$S$41*0.8</formula>
    </cfRule>
  </conditionalFormatting>
  <conditionalFormatting sqref="K41:K42">
    <cfRule type="containsText" priority="163" operator="containsText" dxfId="223" text="Fail">
      <formula>NOT(ISERROR(SEARCH("Fail",K41)))</formula>
    </cfRule>
    <cfRule type="containsText" priority="164" operator="containsText" dxfId="222" text="Pass">
      <formula>NOT(ISERROR(SEARCH("Pass",K41)))</formula>
    </cfRule>
  </conditionalFormatting>
  <conditionalFormatting sqref="F44:J44">
    <cfRule type="cellIs" priority="161" operator="notBetween" dxfId="1" stopIfTrue="1">
      <formula>F$43-$S$43</formula>
      <formula>F$43+$S$43</formula>
    </cfRule>
    <cfRule type="cellIs" priority="162" operator="notBetween" dxfId="0" stopIfTrue="1">
      <formula>F$43-$S$43*0.8</formula>
      <formula>F$43+$S$43*0.8</formula>
    </cfRule>
  </conditionalFormatting>
  <conditionalFormatting sqref="K43:K44">
    <cfRule type="containsText" priority="159" operator="containsText" dxfId="223" text="Fail">
      <formula>NOT(ISERROR(SEARCH("Fail",K43)))</formula>
    </cfRule>
    <cfRule type="containsText" priority="160" operator="containsText" dxfId="222" text="Pass">
      <formula>NOT(ISERROR(SEARCH("Pass",K43)))</formula>
    </cfRule>
  </conditionalFormatting>
  <conditionalFormatting sqref="F46:J46">
    <cfRule type="cellIs" priority="157" operator="notBetween" dxfId="1" stopIfTrue="1">
      <formula>F$45-$S$45</formula>
      <formula>F$45+$S$45</formula>
    </cfRule>
    <cfRule type="cellIs" priority="158" operator="notBetween" dxfId="0" stopIfTrue="1">
      <formula>F$45-$S$45*0.8</formula>
      <formula>F$45+$S$45*0.8</formula>
    </cfRule>
  </conditionalFormatting>
  <conditionalFormatting sqref="K45:K46">
    <cfRule type="containsText" priority="155" operator="containsText" dxfId="223" text="Fail">
      <formula>NOT(ISERROR(SEARCH("Fail",K45)))</formula>
    </cfRule>
    <cfRule type="containsText" priority="156" operator="containsText" dxfId="222" text="Pass">
      <formula>NOT(ISERROR(SEARCH("Pass",K45)))</formula>
    </cfRule>
  </conditionalFormatting>
  <conditionalFormatting sqref="F48:J48">
    <cfRule type="cellIs" priority="153" operator="notBetween" dxfId="1" stopIfTrue="1">
      <formula>F$47-$S$47</formula>
      <formula>F$47+$S$47</formula>
    </cfRule>
    <cfRule type="cellIs" priority="154" operator="notBetween" dxfId="0" stopIfTrue="1">
      <formula>F$47-$S$47*0.8</formula>
      <formula>F$47+$S$47*0.8</formula>
    </cfRule>
  </conditionalFormatting>
  <conditionalFormatting sqref="K47:K48">
    <cfRule type="containsText" priority="149" operator="containsText" dxfId="223" text="Fail">
      <formula>NOT(ISERROR(SEARCH("Fail",K47)))</formula>
    </cfRule>
    <cfRule type="containsText" priority="152" operator="containsText" dxfId="222" text="Pass">
      <formula>NOT(ISERROR(SEARCH("Pass",K47)))</formula>
    </cfRule>
  </conditionalFormatting>
  <conditionalFormatting sqref="F67">
    <cfRule type="cellIs" priority="147" operator="notBetween" dxfId="1" stopIfTrue="1">
      <formula>F$66-$S$66</formula>
      <formula>F$66+$S$66</formula>
    </cfRule>
    <cfRule type="cellIs" priority="148" operator="notBetween" dxfId="0" stopIfTrue="1">
      <formula>F$66-$S$66*0.8</formula>
      <formula>F$66+$S$66*0.8</formula>
    </cfRule>
  </conditionalFormatting>
  <conditionalFormatting sqref="G67:J67">
    <cfRule type="cellIs" priority="145" operator="notBetween" dxfId="1" stopIfTrue="1">
      <formula>G$66-$S$66</formula>
      <formula>G$66+$S$66</formula>
    </cfRule>
    <cfRule type="cellIs" priority="146" operator="notBetween" dxfId="0" stopIfTrue="1">
      <formula>G$66-$S$66*0.8</formula>
      <formula>G$66+$S$66*0.8</formula>
    </cfRule>
  </conditionalFormatting>
  <conditionalFormatting sqref="F73:J73">
    <cfRule type="cellIs" priority="139" operator="notBetween" dxfId="1" stopIfTrue="1">
      <formula>F$72-$S$72</formula>
      <formula>F$72+$S$72</formula>
    </cfRule>
    <cfRule type="cellIs" priority="140" operator="notBetween" dxfId="0" stopIfTrue="1">
      <formula>F$72-$S$72*0.8</formula>
      <formula>F$72+$S$72*0.8</formula>
    </cfRule>
  </conditionalFormatting>
  <conditionalFormatting sqref="K64:K73">
    <cfRule type="containsText" priority="135" operator="containsText" dxfId="223" text="Fail">
      <formula>NOT(ISERROR(SEARCH("Fail",K64)))</formula>
    </cfRule>
    <cfRule type="containsText" priority="138" operator="containsText" dxfId="222" text="Pass">
      <formula>NOT(ISERROR(SEARCH("Pass",K64)))</formula>
    </cfRule>
  </conditionalFormatting>
  <conditionalFormatting sqref="F65:J65">
    <cfRule type="cellIs" priority="136" operator="notBetween" dxfId="1" stopIfTrue="1">
      <formula>F$64-$S$64</formula>
      <formula>F$64+$S$64</formula>
    </cfRule>
    <cfRule type="cellIs" priority="137" operator="notBetween" dxfId="0" stopIfTrue="1">
      <formula>F$64-$S$64*0.8</formula>
      <formula>F$64+$S$64*0.8</formula>
    </cfRule>
  </conditionalFormatting>
  <conditionalFormatting sqref="F75:J75">
    <cfRule type="cellIs" priority="133" operator="notBetween" dxfId="1" stopIfTrue="1">
      <formula>F$74-$S$74</formula>
      <formula>F$74+$S$74</formula>
    </cfRule>
    <cfRule type="cellIs" priority="134" operator="notBetween" dxfId="0" stopIfTrue="1">
      <formula>F$74-$S$74*0.8</formula>
      <formula>F$74+$S$74*0.8</formula>
    </cfRule>
  </conditionalFormatting>
  <conditionalFormatting sqref="K74:K75">
    <cfRule type="containsText" priority="131" operator="containsText" dxfId="223" text="Fail">
      <formula>NOT(ISERROR(SEARCH("Fail",K74)))</formula>
    </cfRule>
    <cfRule type="containsText" priority="132" operator="containsText" dxfId="222" text="Pass">
      <formula>NOT(ISERROR(SEARCH("Pass",K74)))</formula>
    </cfRule>
  </conditionalFormatting>
  <conditionalFormatting sqref="F77:J77">
    <cfRule type="cellIs" priority="129" operator="notBetween" dxfId="1" stopIfTrue="1">
      <formula>F$76-$S$76</formula>
      <formula>F$76+$S$76</formula>
    </cfRule>
    <cfRule type="cellIs" priority="130" operator="notBetween" dxfId="0" stopIfTrue="1">
      <formula>F$76-$S$76*0.8</formula>
      <formula>F$76+$S$76*0.8</formula>
    </cfRule>
  </conditionalFormatting>
  <conditionalFormatting sqref="K76:K77">
    <cfRule type="containsText" priority="127" operator="containsText" dxfId="223" text="Fail">
      <formula>NOT(ISERROR(SEARCH("Fail",K76)))</formula>
    </cfRule>
    <cfRule type="containsText" priority="128" operator="containsText" dxfId="222" text="Pass">
      <formula>NOT(ISERROR(SEARCH("Pass",K76)))</formula>
    </cfRule>
  </conditionalFormatting>
  <conditionalFormatting sqref="F79:J79">
    <cfRule type="cellIs" priority="125" operator="notBetween" dxfId="1" stopIfTrue="1">
      <formula>F$78-$S$78</formula>
      <formula>F$78+$S$78</formula>
    </cfRule>
    <cfRule type="cellIs" priority="126" operator="notBetween" dxfId="0" stopIfTrue="1">
      <formula>F$78-$S$78*0.8</formula>
      <formula>F$78+$S$78*0.8</formula>
    </cfRule>
  </conditionalFormatting>
  <conditionalFormatting sqref="K78:K79">
    <cfRule type="containsText" priority="123" operator="containsText" dxfId="223" text="Fail">
      <formula>NOT(ISERROR(SEARCH("Fail",K78)))</formula>
    </cfRule>
    <cfRule type="containsText" priority="124" operator="containsText" dxfId="222" text="Pass">
      <formula>NOT(ISERROR(SEARCH("Pass",K78)))</formula>
    </cfRule>
  </conditionalFormatting>
  <conditionalFormatting sqref="F81:J81">
    <cfRule type="cellIs" priority="121" operator="notBetween" dxfId="1" stopIfTrue="1">
      <formula>F$80-$S$80</formula>
      <formula>F$80+$S$80</formula>
    </cfRule>
    <cfRule type="cellIs" priority="122" operator="notBetween" dxfId="0" stopIfTrue="1">
      <formula>F$80-$S$80*0.8</formula>
      <formula>F$80+$S$80*0.8</formula>
    </cfRule>
  </conditionalFormatting>
  <conditionalFormatting sqref="K80:K81">
    <cfRule type="containsText" priority="119" operator="containsText" dxfId="223" text="Fail">
      <formula>NOT(ISERROR(SEARCH("Fail",K80)))</formula>
    </cfRule>
    <cfRule type="containsText" priority="120" operator="containsText" dxfId="222" text="Pass">
      <formula>NOT(ISERROR(SEARCH("Pass",K80)))</formula>
    </cfRule>
  </conditionalFormatting>
  <conditionalFormatting sqref="F83:J83">
    <cfRule type="cellIs" priority="117" operator="notBetween" dxfId="1" stopIfTrue="1">
      <formula>F$82-$S$82</formula>
      <formula>F$82+$S$82</formula>
    </cfRule>
    <cfRule type="cellIs" priority="118" operator="notBetween" dxfId="0" stopIfTrue="1">
      <formula>F$82-$S$82*0.8</formula>
      <formula>F$82+$S$82*0.8</formula>
    </cfRule>
  </conditionalFormatting>
  <conditionalFormatting sqref="K82:K83">
    <cfRule type="containsText" priority="115" operator="containsText" dxfId="223" text="Fail">
      <formula>NOT(ISERROR(SEARCH("Fail",K82)))</formula>
    </cfRule>
    <cfRule type="containsText" priority="116" operator="containsText" dxfId="222" text="Pass">
      <formula>NOT(ISERROR(SEARCH("Pass",K82)))</formula>
    </cfRule>
  </conditionalFormatting>
  <conditionalFormatting sqref="F85:J85">
    <cfRule type="cellIs" priority="113" operator="notBetween" dxfId="1" stopIfTrue="1">
      <formula>F$84-$S$84</formula>
      <formula>F$84+$S$84</formula>
    </cfRule>
    <cfRule type="cellIs" priority="114" operator="notBetween" dxfId="0" stopIfTrue="1">
      <formula>F$84-$S$84*0.8</formula>
      <formula>F$84+$S$84*0.8</formula>
    </cfRule>
  </conditionalFormatting>
  <conditionalFormatting sqref="K84:K85">
    <cfRule type="containsText" priority="111" operator="containsText" dxfId="223" text="Fail">
      <formula>NOT(ISERROR(SEARCH("Fail",K84)))</formula>
    </cfRule>
    <cfRule type="containsText" priority="112" operator="containsText" dxfId="222" text="Pass">
      <formula>NOT(ISERROR(SEARCH("Pass",K84)))</formula>
    </cfRule>
  </conditionalFormatting>
  <conditionalFormatting sqref="F87:J87">
    <cfRule type="cellIs" priority="109" operator="notBetween" dxfId="1" stopIfTrue="1">
      <formula>F$86-$S$86</formula>
      <formula>F$86+$S$86</formula>
    </cfRule>
    <cfRule type="cellIs" priority="110" operator="notBetween" dxfId="0" stopIfTrue="1">
      <formula>F$86-$S$86*0.8</formula>
      <formula>F$86+$S$86*0.8</formula>
    </cfRule>
  </conditionalFormatting>
  <conditionalFormatting sqref="K86:K87">
    <cfRule type="containsText" priority="107" operator="containsText" dxfId="223" text="Fail">
      <formula>NOT(ISERROR(SEARCH("Fail",K86)))</formula>
    </cfRule>
    <cfRule type="containsText" priority="108" operator="containsText" dxfId="222" text="Pass">
      <formula>NOT(ISERROR(SEARCH("Pass",K86)))</formula>
    </cfRule>
  </conditionalFormatting>
  <conditionalFormatting sqref="F89:J89">
    <cfRule type="cellIs" priority="105" operator="notBetween" dxfId="1" stopIfTrue="1">
      <formula>F$88-$S$88</formula>
      <formula>F$88+$S$88</formula>
    </cfRule>
    <cfRule type="cellIs" priority="106" operator="notBetween" dxfId="0" stopIfTrue="1">
      <formula>F$88-$S$88*0.8</formula>
      <formula>F$88+$S$88*0.8</formula>
    </cfRule>
  </conditionalFormatting>
  <conditionalFormatting sqref="K88:K89">
    <cfRule type="containsText" priority="103" operator="containsText" dxfId="223" text="Fail">
      <formula>NOT(ISERROR(SEARCH("Fail",K88)))</formula>
    </cfRule>
    <cfRule type="containsText" priority="104" operator="containsText" dxfId="222" text="Pass">
      <formula>NOT(ISERROR(SEARCH("Pass",K88)))</formula>
    </cfRule>
  </conditionalFormatting>
  <conditionalFormatting sqref="F91:J91">
    <cfRule type="cellIs" priority="101" operator="notBetween" dxfId="1" stopIfTrue="1">
      <formula>F$90-$S$90</formula>
      <formula>F$90+$S$90</formula>
    </cfRule>
    <cfRule type="cellIs" priority="102" operator="notBetween" dxfId="0" stopIfTrue="1">
      <formula>F$90-$S$90*0.8</formula>
      <formula>F$90+$S$90*0.8</formula>
    </cfRule>
  </conditionalFormatting>
  <conditionalFormatting sqref="K90:K91">
    <cfRule type="containsText" priority="99" operator="containsText" dxfId="223" text="Fail">
      <formula>NOT(ISERROR(SEARCH("Fail",K90)))</formula>
    </cfRule>
    <cfRule type="containsText" priority="100" operator="containsText" dxfId="222" text="Pass">
      <formula>NOT(ISERROR(SEARCH("Pass",K90)))</formula>
    </cfRule>
  </conditionalFormatting>
  <conditionalFormatting sqref="F93:J93">
    <cfRule type="cellIs" priority="97" operator="notBetween" dxfId="1" stopIfTrue="1">
      <formula>F$92-$S$92</formula>
      <formula>F$92+$S$92</formula>
    </cfRule>
    <cfRule type="cellIs" priority="98" operator="notBetween" dxfId="0" stopIfTrue="1">
      <formula>F$92-$S$92*0.8</formula>
      <formula>F$92+$S$92*0.8</formula>
    </cfRule>
  </conditionalFormatting>
  <conditionalFormatting sqref="K92:K93">
    <cfRule type="containsText" priority="95" operator="containsText" dxfId="223" text="Fail">
      <formula>NOT(ISERROR(SEARCH("Fail",K92)))</formula>
    </cfRule>
    <cfRule type="containsText" priority="96" operator="containsText" dxfId="222" text="Pass">
      <formula>NOT(ISERROR(SEARCH("Pass",K92)))</formula>
    </cfRule>
  </conditionalFormatting>
  <conditionalFormatting sqref="F95:J95">
    <cfRule type="cellIs" priority="93" operator="notBetween" dxfId="1" stopIfTrue="1">
      <formula>F$94-$S$94</formula>
      <formula>F$94+$S$94</formula>
    </cfRule>
    <cfRule type="cellIs" priority="94" operator="notBetween" dxfId="0" stopIfTrue="1">
      <formula>F$94-$S$94*0.8</formula>
      <formula>F$94+$S$94*0.8</formula>
    </cfRule>
  </conditionalFormatting>
  <conditionalFormatting sqref="K94:K95">
    <cfRule type="containsText" priority="91" operator="containsText" dxfId="223" text="Fail">
      <formula>NOT(ISERROR(SEARCH("Fail",K94)))</formula>
    </cfRule>
    <cfRule type="containsText" priority="92" operator="containsText" dxfId="222" text="Pass">
      <formula>NOT(ISERROR(SEARCH("Pass",K94)))</formula>
    </cfRule>
  </conditionalFormatting>
  <conditionalFormatting sqref="F97:J97">
    <cfRule type="cellIs" priority="89" operator="notBetween" dxfId="1" stopIfTrue="1">
      <formula>F$96-$S$96</formula>
      <formula>F$96+$S$96</formula>
    </cfRule>
    <cfRule type="cellIs" priority="90" operator="notBetween" dxfId="0" stopIfTrue="1">
      <formula>F$96-$S$96*0.8</formula>
      <formula>F$96+$S$96*0.8</formula>
    </cfRule>
  </conditionalFormatting>
  <conditionalFormatting sqref="K96:K97">
    <cfRule type="containsText" priority="87" operator="containsText" dxfId="223" text="Fail">
      <formula>NOT(ISERROR(SEARCH("Fail",K96)))</formula>
    </cfRule>
    <cfRule type="containsText" priority="88" operator="containsText" dxfId="222" text="Pass">
      <formula>NOT(ISERROR(SEARCH("Pass",K96)))</formula>
    </cfRule>
  </conditionalFormatting>
  <conditionalFormatting sqref="K98:K99">
    <cfRule type="containsText" priority="85" operator="containsText" dxfId="223" text="Fail">
      <formula>NOT(ISERROR(SEARCH("Fail",K98)))</formula>
    </cfRule>
    <cfRule type="containsText" priority="86" operator="containsText" dxfId="222" text="Pass">
      <formula>NOT(ISERROR(SEARCH("Pass",K98)))</formula>
    </cfRule>
  </conditionalFormatting>
  <conditionalFormatting sqref="F101:J101">
    <cfRule type="cellIs" priority="83" operator="notBetween" dxfId="1" stopIfTrue="1">
      <formula>F$100-$S$100</formula>
      <formula>F$100+$S$100</formula>
    </cfRule>
    <cfRule type="cellIs" priority="84" operator="notBetween" dxfId="0" stopIfTrue="1">
      <formula>F$100-$S$100*0.8</formula>
      <formula>F$100+$S$100*0.8</formula>
    </cfRule>
  </conditionalFormatting>
  <conditionalFormatting sqref="K100:K101">
    <cfRule type="containsText" priority="81" operator="containsText" dxfId="223" text="Fail">
      <formula>NOT(ISERROR(SEARCH("Fail",K100)))</formula>
    </cfRule>
    <cfRule type="containsText" priority="82" operator="containsText" dxfId="222" text="Pass">
      <formula>NOT(ISERROR(SEARCH("Pass",K100)))</formula>
    </cfRule>
  </conditionalFormatting>
  <conditionalFormatting sqref="F103:J103">
    <cfRule type="cellIs" priority="79" operator="notBetween" dxfId="1" stopIfTrue="1">
      <formula>F$102-$S$102</formula>
      <formula>F$102+$S$102</formula>
    </cfRule>
    <cfRule type="cellIs" priority="80" operator="notBetween" dxfId="0" stopIfTrue="1">
      <formula>F$102-$S$102*0.8</formula>
      <formula>F$102+$S$102*0.8</formula>
    </cfRule>
  </conditionalFormatting>
  <conditionalFormatting sqref="K102:K103">
    <cfRule type="containsText" priority="77" operator="containsText" dxfId="223" text="Fail">
      <formula>NOT(ISERROR(SEARCH("Fail",K102)))</formula>
    </cfRule>
    <cfRule type="containsText" priority="78" operator="containsText" dxfId="222" text="Pass">
      <formula>NOT(ISERROR(SEARCH("Pass",K102)))</formula>
    </cfRule>
  </conditionalFormatting>
  <conditionalFormatting sqref="F99:J99">
    <cfRule type="cellIs" priority="75" operator="notBetween" dxfId="1" stopIfTrue="1">
      <formula>F$98-$S$98</formula>
      <formula>F$98+$S$98</formula>
    </cfRule>
    <cfRule type="cellIs" priority="76" operator="notBetween" dxfId="0" stopIfTrue="1">
      <formula>F$98-$S$98*0.8</formula>
      <formula>F$98+$S$98*0.8</formula>
    </cfRule>
  </conditionalFormatting>
  <conditionalFormatting sqref="M22:Q22">
    <cfRule type="cellIs" priority="73" operator="notBetween" dxfId="1" stopIfTrue="1">
      <formula>M$21-$S$21</formula>
      <formula>M$21+$S$21</formula>
    </cfRule>
    <cfRule type="cellIs" priority="74" operator="notBetween" dxfId="0" stopIfTrue="1">
      <formula>M$21-$S$21*0.8</formula>
      <formula>M$21+$S$21*0.8</formula>
    </cfRule>
  </conditionalFormatting>
  <conditionalFormatting sqref="M24:Q24">
    <cfRule type="cellIs" priority="71" operator="notBetween" dxfId="1" stopIfTrue="1">
      <formula>M$23-$S$23</formula>
      <formula>M$23+$S$23</formula>
    </cfRule>
    <cfRule type="cellIs" priority="72" operator="notBetween" dxfId="0" stopIfTrue="1">
      <formula>M$23-$S$23*0.8</formula>
      <formula>M$23+$S$23*0.8</formula>
    </cfRule>
  </conditionalFormatting>
  <conditionalFormatting sqref="M26:Q26">
    <cfRule type="cellIs" priority="69" operator="notBetween" dxfId="1" stopIfTrue="1">
      <formula>M$25-$S$25</formula>
      <formula>M$25+$S$25</formula>
    </cfRule>
    <cfRule type="cellIs" priority="70" operator="notBetween" dxfId="0" stopIfTrue="1">
      <formula>M$25-$S$25*0.8</formula>
      <formula>M$25+$S$25*0.8</formula>
    </cfRule>
  </conditionalFormatting>
  <conditionalFormatting sqref="M28:Q28">
    <cfRule type="cellIs" priority="67" operator="notBetween" dxfId="1" stopIfTrue="1">
      <formula>M$27-$S$27</formula>
      <formula>M$27+$S$27</formula>
    </cfRule>
    <cfRule type="cellIs" priority="68" operator="notBetween" dxfId="0" stopIfTrue="1">
      <formula>M$27-$S$27*0.8</formula>
      <formula>M$27+$S$27*0.8</formula>
    </cfRule>
  </conditionalFormatting>
  <conditionalFormatting sqref="M32:Q32">
    <cfRule type="cellIs" priority="65" operator="notBetween" dxfId="1" stopIfTrue="1">
      <formula>M$31-$S$31</formula>
      <formula>M$31+$S$31</formula>
    </cfRule>
    <cfRule type="cellIs" priority="66" operator="notBetween" dxfId="0" stopIfTrue="1">
      <formula>M$31-$S$31*0.8</formula>
      <formula>M$31+$S$31*0.8</formula>
    </cfRule>
  </conditionalFormatting>
  <conditionalFormatting sqref="F36:J36">
    <cfRule type="cellIs" priority="63" operator="notBetween" dxfId="1" stopIfTrue="1">
      <formula>F$35-$S$35</formula>
      <formula>F$35+$S$35</formula>
    </cfRule>
    <cfRule type="cellIs" priority="64" operator="notBetween" dxfId="0" stopIfTrue="1">
      <formula>F$35-$S$35*0.8</formula>
      <formula>F$35+$S$35*0.8</formula>
    </cfRule>
  </conditionalFormatting>
  <conditionalFormatting sqref="F38:J38">
    <cfRule type="cellIs" priority="61" operator="notBetween" dxfId="1" stopIfTrue="1">
      <formula>F$37-$S$37</formula>
      <formula>F$37+$S$37</formula>
    </cfRule>
    <cfRule type="cellIs" priority="62" operator="notBetween" dxfId="0" stopIfTrue="1">
      <formula>F$37-$S$37*0.8</formula>
      <formula>F$37+$S$37*0.8</formula>
    </cfRule>
  </conditionalFormatting>
  <conditionalFormatting sqref="F40:J40">
    <cfRule type="cellIs" priority="59" operator="notBetween" dxfId="1" stopIfTrue="1">
      <formula>F$39-$S$39</formula>
      <formula>F$39+$S$39</formula>
    </cfRule>
    <cfRule type="cellIs" priority="60" operator="notBetween" dxfId="0" stopIfTrue="1">
      <formula>F$39-$S$39*0.8</formula>
      <formula>F$39+$S$39*0.8</formula>
    </cfRule>
  </conditionalFormatting>
  <conditionalFormatting sqref="M42:Q42">
    <cfRule type="cellIs" priority="55" operator="notBetween" dxfId="1" stopIfTrue="1">
      <formula>M$41-$S$41</formula>
      <formula>M$41+$S$41</formula>
    </cfRule>
    <cfRule type="cellIs" priority="56" operator="notBetween" dxfId="0" stopIfTrue="1">
      <formula>M$41-$S$41*0.8</formula>
      <formula>M$41+$S$41*0.8</formula>
    </cfRule>
  </conditionalFormatting>
  <conditionalFormatting sqref="M44:Q44">
    <cfRule type="cellIs" priority="53" operator="notBetween" dxfId="1" stopIfTrue="1">
      <formula>M$43-$S$43</formula>
      <formula>M$43+$S$43</formula>
    </cfRule>
    <cfRule type="cellIs" priority="54" operator="notBetween" dxfId="0" stopIfTrue="1">
      <formula>M$43-$S$43*0.8</formula>
      <formula>M$43+$S$43*0.8</formula>
    </cfRule>
  </conditionalFormatting>
  <conditionalFormatting sqref="M46:Q46">
    <cfRule type="cellIs" priority="51" operator="notBetween" dxfId="1" stopIfTrue="1">
      <formula>M$45-$S$45</formula>
      <formula>M$45+$S$45</formula>
    </cfRule>
    <cfRule type="cellIs" priority="52" operator="notBetween" dxfId="0" stopIfTrue="1">
      <formula>M$45-$S$45*0.8</formula>
      <formula>M$45+$S$45*0.8</formula>
    </cfRule>
  </conditionalFormatting>
  <conditionalFormatting sqref="M65:Q65">
    <cfRule type="cellIs" priority="49" operator="notBetween" dxfId="1" stopIfTrue="1">
      <formula>M$64-$S$64</formula>
      <formula>M$64+$S$64</formula>
    </cfRule>
    <cfRule type="cellIs" priority="50" operator="notBetween" dxfId="0" stopIfTrue="1">
      <formula>M$64-$S$64*0.8</formula>
      <formula>M$64+$S$64*0.8</formula>
    </cfRule>
  </conditionalFormatting>
  <conditionalFormatting sqref="M67">
    <cfRule type="cellIs" priority="47" operator="notBetween" dxfId="1" stopIfTrue="1">
      <formula>M$66-$S$66</formula>
      <formula>M$66+$S$66</formula>
    </cfRule>
    <cfRule type="cellIs" priority="48" operator="notBetween" dxfId="0" stopIfTrue="1">
      <formula>M$66-$S$66*0.8</formula>
      <formula>M$66+$S$66*0.8</formula>
    </cfRule>
  </conditionalFormatting>
  <conditionalFormatting sqref="N67:Q67">
    <cfRule type="cellIs" priority="45" operator="notBetween" dxfId="1" stopIfTrue="1">
      <formula>N$66-$S$66</formula>
      <formula>N$66+$S$66</formula>
    </cfRule>
    <cfRule type="cellIs" priority="46" operator="notBetween" dxfId="0" stopIfTrue="1">
      <formula>N$66-$S$66*0.8</formula>
      <formula>N$66+$S$66*0.8</formula>
    </cfRule>
  </conditionalFormatting>
  <conditionalFormatting sqref="F69:J69">
    <cfRule type="cellIs" priority="143" operator="notBetween" dxfId="1" stopIfTrue="1">
      <formula>F$68-$S$68</formula>
      <formula>F$68+$S$68</formula>
    </cfRule>
    <cfRule type="cellIs" priority="144" operator="notBetween" dxfId="0" stopIfTrue="1">
      <formula>F$68-$S$68*0.8</formula>
      <formula>F$68+$S$68*0.8</formula>
    </cfRule>
  </conditionalFormatting>
  <conditionalFormatting sqref="M69:Q69">
    <cfRule type="cellIs" priority="43" operator="notBetween" dxfId="1" stopIfTrue="1">
      <formula>M$68-$S$68</formula>
      <formula>M$68+$S$68</formula>
    </cfRule>
    <cfRule type="cellIs" priority="44" operator="notBetween" dxfId="0" stopIfTrue="1">
      <formula>M$68-$S$68*0.8</formula>
      <formula>M$68+$S$68*0.8</formula>
    </cfRule>
  </conditionalFormatting>
  <conditionalFormatting sqref="F71:J71">
    <cfRule type="cellIs" priority="141" operator="notBetween" dxfId="1" stopIfTrue="1">
      <formula>F$70-$S$70</formula>
      <formula>F$70+$S$70</formula>
    </cfRule>
    <cfRule type="cellIs" priority="142" operator="notBetween" dxfId="0" stopIfTrue="1">
      <formula>F$70-$S$70*0.8</formula>
      <formula>F$70+$S$70*0.8</formula>
    </cfRule>
  </conditionalFormatting>
  <conditionalFormatting sqref="M71:Q71">
    <cfRule type="cellIs" priority="41" operator="notBetween" dxfId="1" stopIfTrue="1">
      <formula>M$70-$S$70</formula>
      <formula>M$70+$S$70</formula>
    </cfRule>
    <cfRule type="cellIs" priority="42" operator="notBetween" dxfId="0" stopIfTrue="1">
      <formula>M$70-$S$70*0.8</formula>
      <formula>M$70+$S$70*0.8</formula>
    </cfRule>
  </conditionalFormatting>
  <conditionalFormatting sqref="M73:Q73">
    <cfRule type="cellIs" priority="39" operator="notBetween" dxfId="1" stopIfTrue="1">
      <formula>M$72-$S$72</formula>
      <formula>M$72+$S$72</formula>
    </cfRule>
    <cfRule type="cellIs" priority="40" operator="notBetween" dxfId="0" stopIfTrue="1">
      <formula>M$72-$S$72*0.8</formula>
      <formula>M$72+$S$72*0.8</formula>
    </cfRule>
  </conditionalFormatting>
  <conditionalFormatting sqref="M75:Q75">
    <cfRule type="cellIs" priority="37" operator="notBetween" dxfId="1" stopIfTrue="1">
      <formula>M$74-$S$74</formula>
      <formula>M$74+$S$74</formula>
    </cfRule>
    <cfRule type="cellIs" priority="38" operator="notBetween" dxfId="0" stopIfTrue="1">
      <formula>M$74-$S$74*0.8</formula>
      <formula>M$74+$S$74*0.8</formula>
    </cfRule>
  </conditionalFormatting>
  <conditionalFormatting sqref="M77:Q77">
    <cfRule type="cellIs" priority="35" operator="notBetween" dxfId="1" stopIfTrue="1">
      <formula>M$76-$S$76</formula>
      <formula>M$76+$S$76</formula>
    </cfRule>
    <cfRule type="cellIs" priority="36" operator="notBetween" dxfId="0" stopIfTrue="1">
      <formula>M$76-$S$76*0.8</formula>
      <formula>M$76+$S$76*0.8</formula>
    </cfRule>
  </conditionalFormatting>
  <conditionalFormatting sqref="M79:Q79">
    <cfRule type="cellIs" priority="33" operator="notBetween" dxfId="1" stopIfTrue="1">
      <formula>M$78-$S$78</formula>
      <formula>M$78+$S$78</formula>
    </cfRule>
    <cfRule type="cellIs" priority="34" operator="notBetween" dxfId="0" stopIfTrue="1">
      <formula>M$78-$S$78*0.8</formula>
      <formula>M$78+$S$78*0.8</formula>
    </cfRule>
  </conditionalFormatting>
  <conditionalFormatting sqref="M81:Q81">
    <cfRule type="cellIs" priority="31" operator="notBetween" dxfId="1" stopIfTrue="1">
      <formula>M$80-$S$80</formula>
      <formula>M$80+$S$80</formula>
    </cfRule>
    <cfRule type="cellIs" priority="32" operator="notBetween" dxfId="0" stopIfTrue="1">
      <formula>M$80-$S$80*0.8</formula>
      <formula>M$80+$S$80*0.8</formula>
    </cfRule>
  </conditionalFormatting>
  <conditionalFormatting sqref="M83:Q83">
    <cfRule type="cellIs" priority="29" operator="notBetween" dxfId="1" stopIfTrue="1">
      <formula>M$82-$S$82</formula>
      <formula>M$82+$S$82</formula>
    </cfRule>
    <cfRule type="cellIs" priority="30" operator="notBetween" dxfId="0" stopIfTrue="1">
      <formula>M$82-$S$82*0.8</formula>
      <formula>M$82+$S$82*0.8</formula>
    </cfRule>
  </conditionalFormatting>
  <conditionalFormatting sqref="M85:Q85">
    <cfRule type="cellIs" priority="27" operator="notBetween" dxfId="1" stopIfTrue="1">
      <formula>M$84-$S$84</formula>
      <formula>M$84+$S$84</formula>
    </cfRule>
    <cfRule type="cellIs" priority="28" operator="notBetween" dxfId="0" stopIfTrue="1">
      <formula>M$84-$S$84*0.8</formula>
      <formula>M$84+$S$84*0.8</formula>
    </cfRule>
  </conditionalFormatting>
  <conditionalFormatting sqref="M87:Q87">
    <cfRule type="cellIs" priority="25" operator="notBetween" dxfId="1" stopIfTrue="1">
      <formula>M$86-$S$86</formula>
      <formula>M$86+$S$86</formula>
    </cfRule>
    <cfRule type="cellIs" priority="26" operator="notBetween" dxfId="0" stopIfTrue="1">
      <formula>M$86-$S$86*0.8</formula>
      <formula>M$86+$S$86*0.8</formula>
    </cfRule>
  </conditionalFormatting>
  <conditionalFormatting sqref="M89:Q89">
    <cfRule type="cellIs" priority="23" operator="notBetween" dxfId="1" stopIfTrue="1">
      <formula>M$88-$S$88</formula>
      <formula>M$88+$S$88</formula>
    </cfRule>
    <cfRule type="cellIs" priority="24" operator="notBetween" dxfId="0" stopIfTrue="1">
      <formula>M$88-$S$88*0.8</formula>
      <formula>M$88+$S$88*0.8</formula>
    </cfRule>
  </conditionalFormatting>
  <conditionalFormatting sqref="M91:Q91">
    <cfRule type="cellIs" priority="21" operator="notBetween" dxfId="1" stopIfTrue="1">
      <formula>M$90-$S$90</formula>
      <formula>M$90+$S$90</formula>
    </cfRule>
    <cfRule type="cellIs" priority="22" operator="notBetween" dxfId="0" stopIfTrue="1">
      <formula>M$90-$S$90*0.8</formula>
      <formula>M$90+$S$90*0.8</formula>
    </cfRule>
  </conditionalFormatting>
  <conditionalFormatting sqref="M93:Q93">
    <cfRule type="cellIs" priority="19" operator="notBetween" dxfId="1" stopIfTrue="1">
      <formula>M$92-$S$92</formula>
      <formula>M$92+$S$92</formula>
    </cfRule>
    <cfRule type="cellIs" priority="20" operator="notBetween" dxfId="0" stopIfTrue="1">
      <formula>M$92-$S$92*0.8</formula>
      <formula>M$92+$S$92*0.8</formula>
    </cfRule>
  </conditionalFormatting>
  <conditionalFormatting sqref="M95:Q95">
    <cfRule type="cellIs" priority="17" operator="notBetween" dxfId="1" stopIfTrue="1">
      <formula>M$94-$S$94</formula>
      <formula>M$94+$S$94</formula>
    </cfRule>
    <cfRule type="cellIs" priority="18" operator="notBetween" dxfId="0" stopIfTrue="1">
      <formula>M$94-$S$94*0.8</formula>
      <formula>M$94+$S$94*0.8</formula>
    </cfRule>
  </conditionalFormatting>
  <conditionalFormatting sqref="M97:Q97">
    <cfRule type="cellIs" priority="15" operator="notBetween" dxfId="1" stopIfTrue="1">
      <formula>M$96-$S$96</formula>
      <formula>M$96+$S$96</formula>
    </cfRule>
    <cfRule type="cellIs" priority="16" operator="notBetween" dxfId="0" stopIfTrue="1">
      <formula>M$96-$S$96*0.8</formula>
      <formula>M$96+$S$96*0.8</formula>
    </cfRule>
  </conditionalFormatting>
  <conditionalFormatting sqref="M99:Q99">
    <cfRule type="cellIs" priority="13" operator="notBetween" dxfId="1" stopIfTrue="1">
      <formula>M$98-$S$98</formula>
      <formula>M$98+$S$98</formula>
    </cfRule>
    <cfRule type="cellIs" priority="14" operator="notBetween" dxfId="0" stopIfTrue="1">
      <formula>M$98-$S$98*0.8</formula>
      <formula>M$98+$S$98*0.8</formula>
    </cfRule>
  </conditionalFormatting>
  <conditionalFormatting sqref="M101:Q101">
    <cfRule type="cellIs" priority="11" operator="notBetween" dxfId="1" stopIfTrue="1">
      <formula>M$100-$S$100</formula>
      <formula>M$100+$S$100</formula>
    </cfRule>
    <cfRule type="cellIs" priority="12" operator="notBetween" dxfId="0" stopIfTrue="1">
      <formula>M$100-$S$100*0.8</formula>
      <formula>M$100+$S$100*0.8</formula>
    </cfRule>
  </conditionalFormatting>
  <conditionalFormatting sqref="M103:Q103">
    <cfRule type="cellIs" priority="9" operator="notBetween" dxfId="1" stopIfTrue="1">
      <formula>M$102-$S$102</formula>
      <formula>M$102+$S$102</formula>
    </cfRule>
    <cfRule type="cellIs" priority="10" operator="notBetween" dxfId="0" stopIfTrue="1">
      <formula>M$102-$S$102*0.8</formula>
      <formula>M$102+$S$102*0.8</formula>
    </cfRule>
  </conditionalFormatting>
  <conditionalFormatting sqref="F34:J34">
    <cfRule type="cellIs" priority="7" operator="notBetween" dxfId="1" stopIfTrue="1">
      <formula>F$31-$S$31</formula>
      <formula>F$31+$S$31</formula>
    </cfRule>
    <cfRule type="cellIs" priority="8" operator="notBetween" dxfId="0" stopIfTrue="1">
      <formula>F$31-$S$31*0.8</formula>
      <formula>F$31+$S$31*0.8</formula>
    </cfRule>
  </conditionalFormatting>
  <conditionalFormatting sqref="M34:Q34">
    <cfRule type="cellIs" priority="5" operator="notBetween" dxfId="1" stopIfTrue="1">
      <formula>M$31-$S$31</formula>
      <formula>M$31+$S$31</formula>
    </cfRule>
    <cfRule type="cellIs" priority="6" operator="notBetween" dxfId="0" stopIfTrue="1">
      <formula>M$31-$S$31*0.8</formula>
      <formula>M$31+$S$31*0.8</formula>
    </cfRule>
  </conditionalFormatting>
  <conditionalFormatting sqref="M40:Q40">
    <cfRule type="cellIs" priority="3" operator="notBetween" dxfId="1" stopIfTrue="1">
      <formula>M$39-$S$39</formula>
      <formula>M$39+$S$39</formula>
    </cfRule>
    <cfRule type="cellIs" priority="4" operator="notBetween" dxfId="0" stopIfTrue="1">
      <formula>M$39-$S$39*0.8</formula>
      <formula>M$39+$S$39*0.8</formula>
    </cfRule>
  </conditionalFormatting>
  <conditionalFormatting sqref="M48:Q48">
    <cfRule type="cellIs" priority="1" operator="notBetween" dxfId="1" stopIfTrue="1">
      <formula>M$47-$S$47</formula>
      <formula>M$47+$S$47</formula>
    </cfRule>
    <cfRule type="cellIs" priority="2" operator="notBetween" dxfId="0" stopIfTrue="1">
      <formula>M$47-$S$47*0.8</formula>
      <formula>M$47+$S$47*0.8</formula>
    </cfRule>
  </conditionalFormatting>
  <dataValidations count="3">
    <dataValidation sqref="S4 S59" showDropDown="0" showInputMessage="1" showErrorMessage="1" allowBlank="0" type="list">
      <formula1>"ST1 - TMA40522 (DEVT678),ST2 - TMA40523 (DEVT679),ST3 - TMA40524 (DEVT680),ST4 - TMA40525 (DEVT681),ST5 - TMA40526 (DEVT682),ST6 - TMA40532 (DEVT683),ST7 - TMA40533 (DEVT684),Cold Chamber - TMA56109 (DEVT709)"</formula1>
    </dataValidation>
    <dataValidation sqref="L9:L48 L64:L103" showDropDown="0" showInputMessage="1" showErrorMessage="1" allowBlank="0" type="list">
      <formula1>"-, A, B, C"</formula1>
    </dataValidation>
    <dataValidation sqref="K9:K48 K64:K103" showDropDown="0" showInputMessage="1" showErrorMessage="1" allowBlank="0" type="list">
      <formula1>"-, Pass, Fail"</formula1>
    </dataValidation>
  </dataValidations>
  <printOptions horizontalCentered="1" verticalCentered="1"/>
  <pageMargins left="0.3149606299212598" right="0.3149606299212598" top="0.3149606299212598" bottom="0.5118110236220472" header="0.3149606299212598" footer="0.3149606299212598"/>
  <pageSetup orientation="landscape" paperSize="9" scale="65" fitToHeight="0"/>
  <headerFooter alignWithMargins="0">
    <oddHeader>&amp;L&amp;G</oddHeader>
    <oddFooter>&amp;CTest Bed Calibration Results page &amp;P of &amp;N&amp;R&amp;"Calibri"&amp;11&amp;K000000&amp;"Calibri,Regular"&amp;11&amp;K000000&amp;F_x000d_&amp;1#&amp;"Calibri"&amp;10 &amp;K737373_x000a_&amp;D&amp;LCaterpillar: Confidential Green</oddFooter>
    <evenHeader/>
    <evenFooter/>
    <firstHeader/>
    <firstFooter/>
  </headerFooter>
  <rowBreaks count="1" manualBreakCount="1">
    <brk id="55" min="0" max="16383" man="1"/>
  </rowBreaks>
  <legacyDrawing r:id="anysvml"/>
</worksheet>
</file>

<file path=xl/worksheets/sheet4.xml><?xml version="1.0" encoding="utf-8"?>
<worksheet xmlns="http://schemas.openxmlformats.org/spreadsheetml/2006/main">
  <sheetPr codeName="Sheet10">
    <tabColor rgb="FFE0E0E0"/>
    <outlinePr summaryBelow="1" summaryRight="1"/>
    <pageSetUpPr fitToPage="1"/>
  </sheetPr>
  <dimension ref="A1:R55"/>
  <sheetViews>
    <sheetView topLeftCell="A22" zoomScaleNormal="100" workbookViewId="0">
      <selection activeCell="L39" sqref="L39:P39"/>
    </sheetView>
  </sheetViews>
  <sheetFormatPr baseColWidth="8" defaultColWidth="9.1796875" defaultRowHeight="12.5"/>
  <cols>
    <col width="5.7265625" customWidth="1" style="1" min="1" max="2"/>
    <col width="18.7265625" customWidth="1" style="1" min="3" max="3"/>
    <col width="8.7265625" customWidth="1" style="1" min="4" max="9"/>
    <col width="5.7265625" customWidth="1" style="1" min="10" max="10"/>
    <col width="3.7265625" customWidth="1" style="1" min="11" max="11"/>
    <col width="8.7265625" customWidth="1" style="1" min="12" max="15"/>
    <col width="15.7265625" customWidth="1" style="1" min="16" max="16"/>
    <col width="14.1796875" customWidth="1" style="1" min="17" max="17"/>
    <col width="5.7265625" customWidth="1" style="1" min="18" max="18"/>
    <col width="9.1796875" customWidth="1" style="1" min="19" max="16384"/>
  </cols>
  <sheetData>
    <row r="1" ht="15" customFormat="1" customHeight="1" s="4" thickTop="1">
      <c r="A1" s="52" t="n"/>
      <c r="B1" s="53" t="n"/>
      <c r="C1" s="53" t="n"/>
      <c r="D1" s="53" t="n"/>
      <c r="E1" s="53" t="n"/>
      <c r="F1" s="53" t="n"/>
      <c r="G1" s="53" t="n"/>
      <c r="H1" s="53" t="n"/>
      <c r="I1" s="53" t="n"/>
      <c r="J1" s="93" t="n"/>
      <c r="K1" s="93" t="n"/>
      <c r="L1" s="93" t="n"/>
      <c r="M1" s="93" t="n"/>
      <c r="N1" s="93" t="n"/>
      <c r="O1" s="93" t="n"/>
      <c r="P1" s="93" t="n"/>
      <c r="Q1" s="93" t="n"/>
      <c r="R1" s="94" t="n"/>
    </row>
    <row r="2" ht="25" customFormat="1" customHeight="1" s="4">
      <c r="A2" s="419" t="inlineStr">
        <is>
          <t>Test Bed Low Temperature Measurement Calibration</t>
        </is>
      </c>
      <c r="B2" s="366" t="n"/>
      <c r="C2" s="366" t="n"/>
      <c r="D2" s="366" t="n"/>
      <c r="E2" s="366" t="n"/>
      <c r="F2" s="366" t="n"/>
      <c r="G2" s="366" t="n"/>
      <c r="H2" s="366" t="n"/>
      <c r="I2" s="366" t="n"/>
      <c r="J2" s="366" t="n"/>
      <c r="K2" s="366" t="n"/>
      <c r="L2" s="366" t="n"/>
      <c r="M2" s="366" t="n"/>
      <c r="N2" s="366" t="n"/>
      <c r="O2" s="366" t="n"/>
      <c r="P2" s="366" t="n"/>
      <c r="Q2" s="366" t="n"/>
      <c r="R2" s="376" t="n"/>
    </row>
    <row r="3" ht="13.5" customFormat="1" customHeight="1" s="2" thickBot="1">
      <c r="A3" s="54" t="n"/>
      <c r="B3" s="55" t="n"/>
      <c r="C3" s="55" t="n"/>
      <c r="D3" s="56" t="n"/>
      <c r="E3" s="56" t="n"/>
      <c r="F3" s="55" t="n"/>
      <c r="G3" s="55" t="n"/>
      <c r="H3" s="55" t="n"/>
      <c r="I3" s="55" t="n"/>
      <c r="J3" s="17" t="n"/>
      <c r="K3" s="17" t="n"/>
      <c r="L3" s="17" t="n"/>
      <c r="M3" s="17" t="n"/>
      <c r="N3" s="17" t="n"/>
      <c r="O3" s="17" t="n"/>
      <c r="P3" s="17" t="n"/>
      <c r="Q3" s="17" t="n"/>
      <c r="R3" s="95" t="n"/>
    </row>
    <row r="4" ht="16" customFormat="1" customHeight="1" s="2" thickBot="1">
      <c r="A4" s="41" t="n"/>
      <c r="B4" s="8" t="inlineStr">
        <is>
          <t xml:space="preserve">Job No. </t>
        </is>
      </c>
      <c r="C4" s="154">
        <f>Title!$C$4</f>
        <v/>
      </c>
      <c r="D4" s="6" t="n"/>
      <c r="E4" s="8" t="inlineStr">
        <is>
          <t xml:space="preserve">Calibrated By. </t>
        </is>
      </c>
      <c r="F4" s="14">
        <f>Title!$C$3</f>
        <v/>
      </c>
      <c r="G4" s="378" t="n"/>
      <c r="H4" s="6" t="n"/>
      <c r="I4" s="6" t="n"/>
      <c r="J4" s="8" t="inlineStr">
        <is>
          <t xml:space="preserve">Calibration Date. </t>
        </is>
      </c>
      <c r="K4" s="420">
        <f>Title!$C$9</f>
        <v/>
      </c>
      <c r="L4" s="380" t="n"/>
      <c r="M4" s="378" t="n"/>
      <c r="N4" s="7" t="n"/>
      <c r="O4" s="8" t="inlineStr">
        <is>
          <t>Bed No.</t>
        </is>
      </c>
      <c r="P4" s="421">
        <f>Title!$F$3</f>
        <v/>
      </c>
      <c r="Q4" s="378" t="n"/>
      <c r="R4" s="57" t="n"/>
    </row>
    <row r="5" ht="15" customFormat="1" customHeight="1" s="2">
      <c r="A5" s="54" t="n"/>
      <c r="B5" s="55" t="n"/>
      <c r="C5" s="55" t="n"/>
      <c r="D5" s="96" t="n"/>
      <c r="E5" s="56" t="n"/>
      <c r="F5" s="55" t="n"/>
      <c r="G5" s="55" t="n"/>
      <c r="H5" s="17" t="n"/>
      <c r="I5" s="17" t="n"/>
      <c r="J5" s="17" t="n"/>
      <c r="K5" s="17" t="n"/>
      <c r="L5" s="17" t="n"/>
      <c r="M5" s="17" t="n"/>
      <c r="N5" s="17" t="n"/>
      <c r="O5" s="17" t="n"/>
      <c r="P5" s="17" t="n"/>
      <c r="Q5" s="17" t="n"/>
      <c r="R5" s="95" t="n"/>
    </row>
    <row r="6" ht="15" customFormat="1" customHeight="1" s="3">
      <c r="A6" s="97" t="inlineStr">
        <is>
          <t>Acceptable Deviation: +/-0.5°C, adjust if error &gt;0.3°C</t>
        </is>
      </c>
      <c r="B6" s="56" t="n"/>
      <c r="C6" s="56" t="n"/>
      <c r="D6" s="56" t="n"/>
      <c r="E6" s="56" t="n"/>
      <c r="F6" s="56" t="n"/>
      <c r="G6" s="56" t="n"/>
      <c r="H6" s="56" t="n"/>
      <c r="I6" s="56" t="n"/>
      <c r="J6" s="56" t="n"/>
      <c r="K6" s="56" t="n"/>
      <c r="L6" s="56" t="n"/>
      <c r="M6" s="56" t="n"/>
      <c r="N6" s="56" t="n"/>
      <c r="O6" s="56" t="n"/>
      <c r="P6" s="56" t="n"/>
      <c r="Q6" s="56" t="n"/>
      <c r="R6" s="98" t="n"/>
    </row>
    <row r="7" ht="15" customFormat="1" customHeight="1" s="2" thickBot="1">
      <c r="A7" s="54" t="n"/>
      <c r="B7" s="311" t="n"/>
      <c r="C7" s="55" t="n"/>
      <c r="D7" s="55" t="n"/>
      <c r="E7" s="55" t="n"/>
      <c r="F7" s="55" t="n"/>
      <c r="G7" s="55" t="n"/>
      <c r="H7" s="17" t="n"/>
      <c r="I7" s="55" t="n"/>
      <c r="J7" s="17" t="n"/>
      <c r="K7" s="55" t="n"/>
      <c r="L7" s="55" t="n"/>
      <c r="M7" s="55" t="n"/>
      <c r="N7" s="55" t="n"/>
      <c r="O7" s="55" t="n"/>
      <c r="P7" s="55" t="n"/>
      <c r="Q7" s="56" t="n"/>
      <c r="R7" s="95" t="n"/>
    </row>
    <row r="8" ht="15" customFormat="1" customHeight="1" s="2">
      <c r="A8" s="60" t="n"/>
      <c r="B8" s="99" t="inlineStr">
        <is>
          <t>Chan.</t>
        </is>
      </c>
      <c r="C8" s="422" t="inlineStr">
        <is>
          <t>Channel Name</t>
        </is>
      </c>
      <c r="D8" s="423" t="inlineStr">
        <is>
          <t>Pre-Calibration Set Points °C</t>
        </is>
      </c>
      <c r="E8" s="424" t="n"/>
      <c r="F8" s="424" t="n"/>
      <c r="G8" s="424" t="n"/>
      <c r="H8" s="425" t="n"/>
      <c r="I8" s="100" t="inlineStr">
        <is>
          <t>Pass/Fail</t>
        </is>
      </c>
      <c r="J8" s="17" t="n"/>
      <c r="K8" s="6" t="n"/>
      <c r="L8" s="423" t="inlineStr">
        <is>
          <t>Post-Calibration Set Points °C</t>
        </is>
      </c>
      <c r="M8" s="424" t="n"/>
      <c r="N8" s="424" t="n"/>
      <c r="O8" s="424" t="n"/>
      <c r="P8" s="425" t="n"/>
      <c r="Q8" s="56" t="n"/>
      <c r="R8" s="95" t="n"/>
    </row>
    <row r="9" ht="15" customFormat="1" customHeight="1" s="2" thickBot="1">
      <c r="A9" s="60" t="n"/>
      <c r="B9" s="101" t="inlineStr">
        <is>
          <t>No.</t>
        </is>
      </c>
      <c r="C9" s="426" t="n"/>
      <c r="D9" s="427" t="n">
        <v>20</v>
      </c>
      <c r="E9" s="428" t="n">
        <v>55</v>
      </c>
      <c r="F9" s="428" t="n">
        <v>90</v>
      </c>
      <c r="G9" s="428" t="n">
        <v>115</v>
      </c>
      <c r="H9" s="429" t="n">
        <v>150</v>
      </c>
      <c r="I9" s="123" t="inlineStr">
        <is>
          <t>(P/F)</t>
        </is>
      </c>
      <c r="J9" s="17" t="n"/>
      <c r="K9" s="7" t="n"/>
      <c r="L9" s="427" t="n">
        <v>20</v>
      </c>
      <c r="M9" s="428" t="n">
        <v>55</v>
      </c>
      <c r="N9" s="428" t="n">
        <v>90</v>
      </c>
      <c r="O9" s="428" t="n">
        <v>115</v>
      </c>
      <c r="P9" s="430" t="n">
        <v>150</v>
      </c>
      <c r="Q9" s="56" t="n"/>
      <c r="R9" s="95" t="n"/>
    </row>
    <row r="10" ht="15" customFormat="1" customHeight="1" s="2">
      <c r="A10" s="60" t="n"/>
      <c r="B10" s="106" t="n">
        <v>36</v>
      </c>
      <c r="C10" s="361" t="inlineStr">
        <is>
          <t>T36</t>
        </is>
      </c>
      <c r="D10" s="431" t="n">
        <v>19.98</v>
      </c>
      <c r="E10" s="432" t="n">
        <v>54.9</v>
      </c>
      <c r="F10" s="432" t="n">
        <v>89.97</v>
      </c>
      <c r="G10" s="432" t="n">
        <v>114.96</v>
      </c>
      <c r="H10" s="432" t="n">
        <v>150</v>
      </c>
      <c r="I10" s="124" t="inlineStr">
        <is>
          <t>P</t>
        </is>
      </c>
      <c r="J10" s="17" t="n"/>
      <c r="K10" s="7" t="n"/>
      <c r="L10" s="433" t="n"/>
      <c r="M10" s="434" t="n"/>
      <c r="N10" s="434" t="n"/>
      <c r="O10" s="434" t="n"/>
      <c r="P10" s="435" t="n"/>
      <c r="Q10" s="56" t="n"/>
      <c r="R10" s="95" t="n"/>
    </row>
    <row r="11" ht="15" customFormat="1" customHeight="1" s="2">
      <c r="A11" s="60" t="n"/>
      <c r="B11" s="106" t="n">
        <v>37</v>
      </c>
      <c r="C11" s="361" t="inlineStr">
        <is>
          <t>T37</t>
        </is>
      </c>
      <c r="D11" s="431" t="n">
        <v>19.94</v>
      </c>
      <c r="E11" s="432" t="n">
        <v>54.92</v>
      </c>
      <c r="F11" s="432" t="n">
        <v>89.95999999999999</v>
      </c>
      <c r="G11" s="432" t="n">
        <v>114.95</v>
      </c>
      <c r="H11" s="432" t="n">
        <v>149.97</v>
      </c>
      <c r="I11" s="124" t="inlineStr">
        <is>
          <t>P</t>
        </is>
      </c>
      <c r="J11" s="17" t="n"/>
      <c r="K11" s="7" t="n"/>
      <c r="L11" s="431" t="n"/>
      <c r="M11" s="432" t="n"/>
      <c r="N11" s="432" t="n"/>
      <c r="O11" s="432" t="n"/>
      <c r="P11" s="436" t="n"/>
      <c r="Q11" s="56" t="n"/>
      <c r="R11" s="95" t="n"/>
    </row>
    <row r="12" ht="15" customFormat="1" customHeight="1" s="2">
      <c r="A12" s="60" t="n"/>
      <c r="B12" s="106" t="n">
        <v>38</v>
      </c>
      <c r="C12" s="361" t="inlineStr">
        <is>
          <t>T38</t>
        </is>
      </c>
      <c r="D12" s="431" t="n">
        <v>19.92</v>
      </c>
      <c r="E12" s="432" t="n">
        <v>54.9</v>
      </c>
      <c r="F12" s="432" t="n">
        <v>89.97</v>
      </c>
      <c r="G12" s="432" t="n">
        <v>114.97</v>
      </c>
      <c r="H12" s="432" t="n">
        <v>150</v>
      </c>
      <c r="I12" s="124" t="inlineStr">
        <is>
          <t>P</t>
        </is>
      </c>
      <c r="J12" s="17" t="n"/>
      <c r="K12" s="7" t="n"/>
      <c r="L12" s="431" t="n"/>
      <c r="M12" s="432" t="n"/>
      <c r="N12" s="432" t="n"/>
      <c r="O12" s="432" t="n"/>
      <c r="P12" s="436" t="n"/>
      <c r="Q12" s="56" t="n"/>
      <c r="R12" s="95" t="n"/>
    </row>
    <row r="13" ht="15" customFormat="1" customHeight="1" s="2">
      <c r="A13" s="60" t="n"/>
      <c r="B13" s="106" t="n">
        <v>39</v>
      </c>
      <c r="C13" s="361" t="inlineStr">
        <is>
          <t>T39</t>
        </is>
      </c>
      <c r="D13" s="431" t="n">
        <v>19.91</v>
      </c>
      <c r="E13" s="432" t="n">
        <v>54.87</v>
      </c>
      <c r="F13" s="432" t="n">
        <v>89.89</v>
      </c>
      <c r="G13" s="432" t="n">
        <v>114.89</v>
      </c>
      <c r="H13" s="432" t="n">
        <v>149.89</v>
      </c>
      <c r="I13" s="124" t="inlineStr">
        <is>
          <t>P</t>
        </is>
      </c>
      <c r="J13" s="17" t="n"/>
      <c r="K13" s="7" t="n"/>
      <c r="L13" s="431" t="n"/>
      <c r="M13" s="432" t="n"/>
      <c r="N13" s="432" t="n"/>
      <c r="O13" s="432" t="n"/>
      <c r="P13" s="436" t="n"/>
      <c r="Q13" s="56" t="n"/>
      <c r="R13" s="95" t="n"/>
    </row>
    <row r="14" ht="15" customFormat="1" customHeight="1" s="2">
      <c r="A14" s="60" t="n"/>
      <c r="B14" s="106" t="n">
        <v>40</v>
      </c>
      <c r="C14" s="361" t="inlineStr">
        <is>
          <t>T40</t>
        </is>
      </c>
      <c r="D14" s="431" t="n">
        <v>19.91</v>
      </c>
      <c r="E14" s="432" t="n">
        <v>54.93</v>
      </c>
      <c r="F14" s="432" t="n">
        <v>89.95999999999999</v>
      </c>
      <c r="G14" s="432" t="n">
        <v>115</v>
      </c>
      <c r="H14" s="432" t="n">
        <v>149.97</v>
      </c>
      <c r="I14" s="124" t="inlineStr">
        <is>
          <t>P</t>
        </is>
      </c>
      <c r="J14" s="17" t="n"/>
      <c r="K14" s="7" t="n"/>
      <c r="L14" s="431" t="n"/>
      <c r="M14" s="432" t="n"/>
      <c r="N14" s="432" t="n"/>
      <c r="O14" s="432" t="n"/>
      <c r="P14" s="436" t="n"/>
      <c r="Q14" s="56" t="n"/>
      <c r="R14" s="95" t="n"/>
    </row>
    <row r="15" ht="15" customFormat="1" customHeight="1" s="2">
      <c r="A15" s="60" t="n"/>
      <c r="B15" s="106" t="n">
        <v>41</v>
      </c>
      <c r="C15" s="361" t="inlineStr">
        <is>
          <t>T41</t>
        </is>
      </c>
      <c r="D15" s="431" t="n">
        <v>19.92</v>
      </c>
      <c r="E15" s="432" t="n">
        <v>54.92</v>
      </c>
      <c r="F15" s="432" t="n">
        <v>89.95999999999999</v>
      </c>
      <c r="G15" s="432" t="n">
        <v>114.95</v>
      </c>
      <c r="H15" s="432" t="n">
        <v>149.92</v>
      </c>
      <c r="I15" s="124" t="inlineStr">
        <is>
          <t>P</t>
        </is>
      </c>
      <c r="J15" s="17" t="n"/>
      <c r="K15" s="7" t="n"/>
      <c r="L15" s="431" t="n"/>
      <c r="M15" s="432" t="n"/>
      <c r="N15" s="432" t="n"/>
      <c r="O15" s="432" t="n"/>
      <c r="P15" s="436" t="n"/>
      <c r="Q15" s="56" t="n"/>
      <c r="R15" s="95" t="n"/>
    </row>
    <row r="16" ht="15" customFormat="1" customHeight="1" s="2">
      <c r="A16" s="60" t="n"/>
      <c r="B16" s="106" t="n">
        <v>42</v>
      </c>
      <c r="C16" s="361" t="inlineStr">
        <is>
          <t>T42</t>
        </is>
      </c>
      <c r="D16" s="431" t="n">
        <v>19.85</v>
      </c>
      <c r="E16" s="432" t="n">
        <v>54.87</v>
      </c>
      <c r="F16" s="432" t="n">
        <v>89.92</v>
      </c>
      <c r="G16" s="432" t="n">
        <v>114.89</v>
      </c>
      <c r="H16" s="432" t="n">
        <v>149.89</v>
      </c>
      <c r="I16" s="124" t="inlineStr">
        <is>
          <t>P</t>
        </is>
      </c>
      <c r="J16" s="17" t="n"/>
      <c r="K16" s="7" t="n"/>
      <c r="L16" s="431" t="n"/>
      <c r="M16" s="432" t="n"/>
      <c r="N16" s="432" t="n"/>
      <c r="O16" s="432" t="n"/>
      <c r="P16" s="436" t="n"/>
      <c r="Q16" s="56" t="n"/>
      <c r="R16" s="95" t="n"/>
    </row>
    <row r="17" ht="15" customFormat="1" customHeight="1" s="2">
      <c r="A17" s="60" t="n"/>
      <c r="B17" s="106" t="n">
        <v>43</v>
      </c>
      <c r="C17" s="361" t="inlineStr">
        <is>
          <t>T43</t>
        </is>
      </c>
      <c r="D17" s="431" t="n">
        <v>20.01</v>
      </c>
      <c r="E17" s="432" t="n">
        <v>54.97</v>
      </c>
      <c r="F17" s="432" t="n">
        <v>90.01000000000001</v>
      </c>
      <c r="G17" s="432" t="n">
        <v>115.01</v>
      </c>
      <c r="H17" s="432" t="n">
        <v>150</v>
      </c>
      <c r="I17" s="124" t="inlineStr">
        <is>
          <t>P</t>
        </is>
      </c>
      <c r="J17" s="17" t="n"/>
      <c r="K17" s="7" t="n"/>
      <c r="L17" s="431" t="n"/>
      <c r="M17" s="432" t="n"/>
      <c r="N17" s="432" t="n"/>
      <c r="O17" s="432" t="n"/>
      <c r="P17" s="436" t="n"/>
      <c r="Q17" s="56" t="n"/>
      <c r="R17" s="95" t="n"/>
    </row>
    <row r="18" ht="15" customFormat="1" customHeight="1" s="2">
      <c r="A18" s="60" t="n"/>
      <c r="B18" s="106" t="n">
        <v>44</v>
      </c>
      <c r="C18" s="361" t="inlineStr">
        <is>
          <t>T44</t>
        </is>
      </c>
      <c r="D18" s="431" t="n">
        <v>19.95</v>
      </c>
      <c r="E18" s="432" t="n">
        <v>54.95</v>
      </c>
      <c r="F18" s="432" t="n">
        <v>89.97</v>
      </c>
      <c r="G18" s="432" t="n">
        <v>114.93</v>
      </c>
      <c r="H18" s="432" t="n">
        <v>149.91</v>
      </c>
      <c r="I18" s="124" t="inlineStr">
        <is>
          <t>P</t>
        </is>
      </c>
      <c r="J18" s="17" t="n"/>
      <c r="K18" s="7" t="n"/>
      <c r="L18" s="431" t="n"/>
      <c r="M18" s="432" t="n"/>
      <c r="N18" s="432" t="n"/>
      <c r="O18" s="432" t="n"/>
      <c r="P18" s="436" t="n"/>
      <c r="Q18" s="56" t="n"/>
      <c r="R18" s="95" t="n"/>
    </row>
    <row r="19" ht="15" customFormat="1" customHeight="1" s="2">
      <c r="A19" s="60" t="n"/>
      <c r="B19" s="106" t="n">
        <v>45</v>
      </c>
      <c r="C19" s="361" t="inlineStr">
        <is>
          <t>T45</t>
        </is>
      </c>
      <c r="D19" s="431" t="n">
        <v>19.92</v>
      </c>
      <c r="E19" s="432" t="n">
        <v>54.92</v>
      </c>
      <c r="F19" s="432" t="n">
        <v>89.90000000000001</v>
      </c>
      <c r="G19" s="432" t="n">
        <v>114.9</v>
      </c>
      <c r="H19" s="432" t="n">
        <v>149.94</v>
      </c>
      <c r="I19" s="124" t="inlineStr">
        <is>
          <t>P</t>
        </is>
      </c>
      <c r="J19" s="17" t="n"/>
      <c r="K19" s="7" t="n"/>
      <c r="L19" s="431" t="n"/>
      <c r="M19" s="432" t="n"/>
      <c r="N19" s="432" t="n"/>
      <c r="O19" s="432" t="n"/>
      <c r="P19" s="436" t="n"/>
      <c r="Q19" s="56" t="n"/>
      <c r="R19" s="95" t="n"/>
    </row>
    <row r="20" ht="15" customFormat="1" customHeight="1" s="2">
      <c r="A20" s="60" t="n"/>
      <c r="B20" s="106" t="n">
        <v>46</v>
      </c>
      <c r="C20" s="361" t="inlineStr">
        <is>
          <t>T46</t>
        </is>
      </c>
      <c r="D20" s="431" t="n">
        <v>19.89</v>
      </c>
      <c r="E20" s="432" t="n">
        <v>54.9</v>
      </c>
      <c r="F20" s="432" t="n">
        <v>89.87</v>
      </c>
      <c r="G20" s="432" t="n">
        <v>114.89</v>
      </c>
      <c r="H20" s="432" t="n">
        <v>149.86</v>
      </c>
      <c r="I20" s="124" t="inlineStr">
        <is>
          <t>P</t>
        </is>
      </c>
      <c r="J20" s="17" t="n"/>
      <c r="K20" s="7" t="n"/>
      <c r="L20" s="431" t="n"/>
      <c r="M20" s="432" t="n"/>
      <c r="N20" s="432" t="n"/>
      <c r="O20" s="432" t="n"/>
      <c r="P20" s="436" t="n"/>
      <c r="Q20" s="56" t="n"/>
      <c r="R20" s="95" t="n"/>
    </row>
    <row r="21" ht="15" customFormat="1" customHeight="1" s="2">
      <c r="A21" s="60" t="n"/>
      <c r="B21" s="106" t="n">
        <v>47</v>
      </c>
      <c r="C21" s="361" t="inlineStr">
        <is>
          <t>T47</t>
        </is>
      </c>
      <c r="D21" s="431" t="n">
        <v>19.93</v>
      </c>
      <c r="E21" s="432" t="n">
        <v>54.9</v>
      </c>
      <c r="F21" s="432" t="n">
        <v>89.87</v>
      </c>
      <c r="G21" s="432" t="n">
        <v>114.87</v>
      </c>
      <c r="H21" s="432" t="n">
        <v>149.88</v>
      </c>
      <c r="I21" s="124" t="inlineStr">
        <is>
          <t>P</t>
        </is>
      </c>
      <c r="J21" s="17" t="n"/>
      <c r="K21" s="7" t="n"/>
      <c r="L21" s="431" t="n"/>
      <c r="M21" s="432" t="n"/>
      <c r="N21" s="432" t="n"/>
      <c r="O21" s="432" t="n"/>
      <c r="P21" s="436" t="n"/>
      <c r="Q21" s="56" t="n"/>
      <c r="R21" s="95" t="n"/>
    </row>
    <row r="22" ht="15" customFormat="1" customHeight="1" s="2" thickBot="1">
      <c r="A22" s="60" t="n"/>
      <c r="B22" s="106" t="n">
        <v>48</v>
      </c>
      <c r="C22" s="361" t="inlineStr">
        <is>
          <t>T48</t>
        </is>
      </c>
      <c r="D22" s="431" t="n">
        <v>19.91</v>
      </c>
      <c r="E22" s="432" t="n">
        <v>54.92</v>
      </c>
      <c r="F22" s="432" t="n">
        <v>89.95999999999999</v>
      </c>
      <c r="G22" s="432" t="n">
        <v>114.86</v>
      </c>
      <c r="H22" s="432" t="n">
        <v>149.91</v>
      </c>
      <c r="I22" s="124" t="inlineStr">
        <is>
          <t>P</t>
        </is>
      </c>
      <c r="J22" s="17" t="n"/>
      <c r="K22" s="7" t="n"/>
      <c r="L22" s="431" t="n"/>
      <c r="M22" s="432" t="n"/>
      <c r="N22" s="432" t="n"/>
      <c r="O22" s="432" t="n"/>
      <c r="P22" s="436" t="n"/>
      <c r="Q22" s="56" t="n"/>
      <c r="R22" s="95" t="n"/>
    </row>
    <row r="23" ht="15" customFormat="1" customHeight="1" s="2" thickBot="1">
      <c r="A23" s="44" t="n"/>
      <c r="B23" s="16" t="n"/>
      <c r="C23" s="8" t="inlineStr">
        <is>
          <t xml:space="preserve">         Pre-Cals. Checked By.</t>
        </is>
      </c>
      <c r="D23" s="293" t="inlineStr">
        <is>
          <t>CD</t>
        </is>
      </c>
      <c r="E23" s="437" t="n"/>
      <c r="F23" s="47" t="n"/>
      <c r="G23" s="47" t="n"/>
      <c r="H23" s="47" t="n"/>
      <c r="I23" s="47" t="n"/>
      <c r="J23" s="17" t="n"/>
      <c r="K23" s="47" t="n"/>
      <c r="L23" s="47" t="n"/>
      <c r="M23" s="47" t="n"/>
      <c r="N23" s="47" t="n"/>
      <c r="O23" s="47" t="n"/>
      <c r="P23" s="47" t="n"/>
      <c r="Q23" s="47" t="n"/>
      <c r="R23" s="42" t="n"/>
    </row>
    <row r="24" ht="15" customFormat="1" customHeight="1" s="2">
      <c r="A24" s="44" t="n"/>
      <c r="B24" s="16" t="n"/>
      <c r="C24" s="47" t="n"/>
      <c r="D24" s="47" t="n"/>
      <c r="E24" s="8" t="n"/>
      <c r="F24" s="8" t="n"/>
      <c r="G24" s="8" t="n"/>
      <c r="H24" s="8" t="n"/>
      <c r="I24" s="8" t="n"/>
      <c r="J24" s="8" t="n"/>
      <c r="K24" s="8" t="n"/>
      <c r="L24" s="8" t="n"/>
      <c r="M24" s="8" t="n"/>
      <c r="N24" s="8" t="n"/>
      <c r="O24" s="47" t="n"/>
      <c r="P24" s="47" t="n"/>
      <c r="Q24" s="311" t="n"/>
      <c r="R24" s="42" t="n"/>
    </row>
    <row r="25" ht="15" customFormat="1" customHeight="1" s="2" thickBot="1">
      <c r="A25" s="44" t="n"/>
      <c r="B25" s="16" t="n"/>
      <c r="C25" s="47" t="n"/>
      <c r="D25" s="47" t="n"/>
      <c r="E25" s="8" t="n"/>
      <c r="F25" s="16" t="inlineStr">
        <is>
          <t>DEVT No.</t>
        </is>
      </c>
      <c r="G25" s="295" t="inlineStr">
        <is>
          <t>Make / Model</t>
        </is>
      </c>
      <c r="H25" s="366" t="n"/>
      <c r="I25" s="366" t="n"/>
      <c r="J25" s="298" t="inlineStr">
        <is>
          <t>Calibration Due</t>
        </is>
      </c>
      <c r="K25" s="397" t="n"/>
      <c r="L25" s="397" t="n"/>
      <c r="M25" s="8" t="n"/>
      <c r="N25" s="438" t="inlineStr">
        <is>
          <t xml:space="preserve">Set Points are </t>
        </is>
      </c>
      <c r="O25" s="111" t="inlineStr">
        <is>
          <t>20 and 100 °C</t>
        </is>
      </c>
      <c r="P25" s="112" t="n"/>
      <c r="Q25" s="47" t="n"/>
      <c r="R25" s="42" t="n"/>
    </row>
    <row r="26" ht="15" customFormat="1" customHeight="1" s="2" thickBot="1">
      <c r="A26" s="44" t="n"/>
      <c r="B26" s="16" t="n"/>
      <c r="C26" s="47" t="n"/>
      <c r="D26" s="47" t="n"/>
      <c r="E26" s="8" t="inlineStr">
        <is>
          <t xml:space="preserve">Temperature Simulator Used. </t>
        </is>
      </c>
      <c r="F26" s="293" t="inlineStr">
        <is>
          <t>DEVT 891</t>
        </is>
      </c>
      <c r="G26" s="300" t="inlineStr">
        <is>
          <t>Additel Multifunction Process Calibrator</t>
        </is>
      </c>
      <c r="H26" s="380" t="n"/>
      <c r="I26" s="437" t="n"/>
      <c r="J26" s="439" t="n">
        <v>45303</v>
      </c>
      <c r="K26" s="380" t="n"/>
      <c r="L26" s="437" t="n"/>
      <c r="M26" s="8" t="n"/>
      <c r="N26" s="8" t="n"/>
      <c r="O26" s="16" t="n"/>
      <c r="P26" s="7" t="n"/>
      <c r="Q26" s="7" t="n"/>
      <c r="R26" s="42" t="n"/>
    </row>
    <row r="27" ht="15" customFormat="1" customHeight="1" s="2" thickBot="1">
      <c r="A27" s="66" t="n"/>
      <c r="B27" s="67" t="n"/>
      <c r="C27" s="67" t="n"/>
      <c r="D27" s="67" t="n"/>
      <c r="E27" s="67" t="n"/>
      <c r="F27" s="67" t="n"/>
      <c r="G27" s="67" t="n"/>
      <c r="H27" s="67" t="n"/>
      <c r="I27" s="67" t="n"/>
      <c r="J27" s="67" t="n"/>
      <c r="K27" s="67" t="n"/>
      <c r="L27" s="67" t="n"/>
      <c r="M27" s="67" t="n"/>
      <c r="N27" s="50" t="n"/>
      <c r="O27" s="67" t="n"/>
      <c r="P27" s="67" t="n"/>
      <c r="Q27" s="67" t="n"/>
      <c r="R27" s="51" t="n"/>
    </row>
    <row r="28" ht="15" customFormat="1" customHeight="1" s="2" thickTop="1">
      <c r="A28" s="52" t="n"/>
      <c r="B28" s="53" t="n"/>
      <c r="C28" s="53" t="n"/>
      <c r="D28" s="53" t="n"/>
      <c r="E28" s="53" t="n"/>
      <c r="F28" s="53" t="n"/>
      <c r="G28" s="53" t="n"/>
      <c r="H28" s="53" t="n"/>
      <c r="I28" s="53" t="n"/>
      <c r="J28" s="93" t="n"/>
      <c r="K28" s="93" t="n"/>
      <c r="L28" s="93" t="n"/>
      <c r="M28" s="93" t="n"/>
      <c r="N28" s="93" t="n"/>
      <c r="O28" s="93" t="n"/>
      <c r="P28" s="93" t="n"/>
      <c r="Q28" s="93" t="n"/>
      <c r="R28" s="94" t="n"/>
    </row>
    <row r="29" ht="25" customFormat="1" customHeight="1" s="2">
      <c r="A29" s="419" t="inlineStr">
        <is>
          <t>Test Bed Low Temperature Measurement Calibration</t>
        </is>
      </c>
      <c r="B29" s="366" t="n"/>
      <c r="C29" s="366" t="n"/>
      <c r="D29" s="366" t="n"/>
      <c r="E29" s="366" t="n"/>
      <c r="F29" s="366" t="n"/>
      <c r="G29" s="366" t="n"/>
      <c r="H29" s="366" t="n"/>
      <c r="I29" s="366" t="n"/>
      <c r="J29" s="366" t="n"/>
      <c r="K29" s="366" t="n"/>
      <c r="L29" s="366" t="n"/>
      <c r="M29" s="366" t="n"/>
      <c r="N29" s="366" t="n"/>
      <c r="O29" s="366" t="n"/>
      <c r="P29" s="366" t="n"/>
      <c r="Q29" s="366" t="n"/>
      <c r="R29" s="376" t="n"/>
    </row>
    <row r="30" ht="15" customFormat="1" customHeight="1" s="2" thickBot="1">
      <c r="A30" s="54" t="n"/>
      <c r="B30" s="55" t="n"/>
      <c r="C30" s="55" t="n"/>
      <c r="D30" s="56" t="n"/>
      <c r="E30" s="56" t="n"/>
      <c r="F30" s="55" t="n"/>
      <c r="G30" s="55" t="n"/>
      <c r="H30" s="55" t="n"/>
      <c r="I30" s="55" t="n"/>
      <c r="J30" s="17" t="n"/>
      <c r="K30" s="17" t="n"/>
      <c r="L30" s="17" t="n"/>
      <c r="M30" s="17" t="n"/>
      <c r="N30" s="17" t="n"/>
      <c r="O30" s="17" t="n"/>
      <c r="P30" s="17" t="n"/>
      <c r="Q30" s="17" t="n"/>
      <c r="R30" s="95" t="n"/>
    </row>
    <row r="31" ht="16" customHeight="1" thickBot="1">
      <c r="A31" s="41" t="n"/>
      <c r="B31" s="8" t="inlineStr">
        <is>
          <t xml:space="preserve">Job No. </t>
        </is>
      </c>
      <c r="C31" s="154">
        <f>Title!$C$4</f>
        <v/>
      </c>
      <c r="D31" s="6" t="n"/>
      <c r="E31" s="8" t="inlineStr">
        <is>
          <t xml:space="preserve">Calibrated By. </t>
        </is>
      </c>
      <c r="F31" s="14">
        <f>Title!$C$3</f>
        <v/>
      </c>
      <c r="G31" s="378" t="n"/>
      <c r="H31" s="6" t="n"/>
      <c r="I31" s="6" t="n"/>
      <c r="J31" s="8" t="inlineStr">
        <is>
          <t xml:space="preserve">Calibration Date. </t>
        </is>
      </c>
      <c r="K31" s="420">
        <f>Title!$C$9</f>
        <v/>
      </c>
      <c r="L31" s="380" t="n"/>
      <c r="M31" s="378" t="n"/>
      <c r="N31" s="7" t="n"/>
      <c r="O31" s="8" t="inlineStr">
        <is>
          <t>Bed No.</t>
        </is>
      </c>
      <c r="P31" s="421">
        <f>Title!$F$3</f>
        <v/>
      </c>
      <c r="Q31" s="378" t="n"/>
      <c r="R31" s="57" t="n"/>
    </row>
    <row r="32" ht="13" customHeight="1">
      <c r="A32" s="54" t="n"/>
      <c r="B32" s="55" t="n"/>
      <c r="C32" s="55" t="n"/>
      <c r="D32" s="96" t="n"/>
      <c r="E32" s="56" t="n"/>
      <c r="F32" s="55" t="n"/>
      <c r="G32" s="55" t="n"/>
      <c r="H32" s="17" t="n"/>
      <c r="I32" s="17" t="n"/>
      <c r="J32" s="17" t="n"/>
      <c r="K32" s="17" t="n"/>
      <c r="L32" s="17" t="n"/>
      <c r="M32" s="17" t="n"/>
      <c r="N32" s="17" t="n"/>
      <c r="O32" s="17" t="n"/>
      <c r="P32" s="17" t="n"/>
      <c r="Q32" s="17" t="n"/>
      <c r="R32" s="95" t="n"/>
    </row>
    <row r="33" ht="13" customHeight="1">
      <c r="A33" s="97" t="inlineStr">
        <is>
          <t>Acceptable Deviation: +/-0.5°C, adjust if error &gt;0.3°C</t>
        </is>
      </c>
      <c r="B33" s="56" t="n"/>
      <c r="C33" s="56" t="n"/>
      <c r="D33" s="56" t="n"/>
      <c r="E33" s="56" t="n"/>
      <c r="F33" s="56" t="n"/>
      <c r="G33" s="56" t="n"/>
      <c r="H33" s="56" t="n"/>
      <c r="I33" s="56" t="n"/>
      <c r="J33" s="56" t="n"/>
      <c r="K33" s="56" t="n"/>
      <c r="L33" s="56" t="n"/>
      <c r="M33" s="56" t="n"/>
      <c r="N33" s="56" t="n"/>
      <c r="O33" s="56" t="n"/>
      <c r="P33" s="56" t="n"/>
      <c r="Q33" s="56" t="n"/>
      <c r="R33" s="98" t="n"/>
    </row>
    <row r="34" ht="13.5" customHeight="1" thickBot="1">
      <c r="A34" s="54" t="n"/>
      <c r="B34" s="311" t="n"/>
      <c r="C34" s="55" t="n"/>
      <c r="D34" s="55" t="n"/>
      <c r="E34" s="55" t="n"/>
      <c r="F34" s="55" t="n"/>
      <c r="G34" s="55" t="n"/>
      <c r="H34" s="17" t="n"/>
      <c r="I34" s="55" t="n"/>
      <c r="J34" s="17" t="n"/>
      <c r="K34" s="55" t="n"/>
      <c r="L34" s="55" t="n"/>
      <c r="M34" s="55" t="n"/>
      <c r="N34" s="55" t="n"/>
      <c r="O34" s="55" t="n"/>
      <c r="P34" s="55" t="n"/>
      <c r="Q34" s="56" t="n"/>
      <c r="R34" s="95" t="n"/>
    </row>
    <row r="35" ht="13" customHeight="1">
      <c r="A35" s="60" t="n"/>
      <c r="B35" s="99" t="inlineStr">
        <is>
          <t>Chan.</t>
        </is>
      </c>
      <c r="C35" s="422" t="inlineStr">
        <is>
          <t>Channel Name</t>
        </is>
      </c>
      <c r="D35" s="423" t="inlineStr">
        <is>
          <t>Pre-Calibration Set Points °C</t>
        </is>
      </c>
      <c r="E35" s="424" t="n"/>
      <c r="F35" s="424" t="n"/>
      <c r="G35" s="424" t="n"/>
      <c r="H35" s="425" t="n"/>
      <c r="I35" s="100" t="inlineStr">
        <is>
          <t>Pass/Fail</t>
        </is>
      </c>
      <c r="J35" s="17" t="n"/>
      <c r="K35" s="6" t="n"/>
      <c r="L35" s="423" t="inlineStr">
        <is>
          <t>Post-Calibration Set Points °C</t>
        </is>
      </c>
      <c r="M35" s="424" t="n"/>
      <c r="N35" s="424" t="n"/>
      <c r="O35" s="424" t="n"/>
      <c r="P35" s="425" t="n"/>
      <c r="Q35" s="56" t="n"/>
      <c r="R35" s="95" t="n"/>
    </row>
    <row r="36" ht="13.5" customHeight="1" thickBot="1">
      <c r="A36" s="60" t="n"/>
      <c r="B36" s="101" t="inlineStr">
        <is>
          <t>No.</t>
        </is>
      </c>
      <c r="C36" s="426" t="n"/>
      <c r="D36" s="427" t="n">
        <v>20</v>
      </c>
      <c r="E36" s="428" t="n">
        <v>55</v>
      </c>
      <c r="F36" s="428" t="n">
        <v>90</v>
      </c>
      <c r="G36" s="428" t="n">
        <v>115</v>
      </c>
      <c r="H36" s="429" t="n">
        <v>150</v>
      </c>
      <c r="I36" s="123" t="inlineStr">
        <is>
          <t>(P/F)</t>
        </is>
      </c>
      <c r="J36" s="17" t="n"/>
      <c r="K36" s="7" t="n"/>
      <c r="L36" s="427" t="n">
        <v>20</v>
      </c>
      <c r="M36" s="428" t="n">
        <v>55</v>
      </c>
      <c r="N36" s="428" t="n">
        <v>90</v>
      </c>
      <c r="O36" s="428" t="n">
        <v>115</v>
      </c>
      <c r="P36" s="430" t="n">
        <v>150</v>
      </c>
      <c r="Q36" s="56" t="n"/>
      <c r="R36" s="95" t="n"/>
    </row>
    <row r="37" ht="13" customHeight="1">
      <c r="A37" s="60" t="n"/>
      <c r="B37" s="106" t="n">
        <v>84</v>
      </c>
      <c r="C37" s="361" t="inlineStr">
        <is>
          <t>T84</t>
        </is>
      </c>
      <c r="D37" s="431" t="n">
        <v>19.93</v>
      </c>
      <c r="E37" s="432" t="n">
        <v>54.89</v>
      </c>
      <c r="F37" s="432" t="n">
        <v>89.8</v>
      </c>
      <c r="G37" s="432" t="n">
        <v>114.73</v>
      </c>
      <c r="H37" s="432" t="n">
        <v>149.68</v>
      </c>
      <c r="I37" s="124" t="inlineStr">
        <is>
          <t>F</t>
        </is>
      </c>
      <c r="J37" s="17" t="n"/>
      <c r="K37" s="7" t="n"/>
      <c r="L37" s="431" t="n">
        <v>20</v>
      </c>
      <c r="M37" s="432" t="n">
        <v>54.95</v>
      </c>
      <c r="N37" s="432" t="n">
        <v>89.98</v>
      </c>
      <c r="O37" s="432" t="n">
        <v>115</v>
      </c>
      <c r="P37" s="436" t="n">
        <v>149.98</v>
      </c>
      <c r="Q37" s="56" t="n"/>
      <c r="R37" s="95" t="n"/>
    </row>
    <row r="38" ht="13" customHeight="1">
      <c r="A38" s="60" t="n"/>
      <c r="B38" s="106" t="n">
        <v>85</v>
      </c>
      <c r="C38" s="361" t="inlineStr">
        <is>
          <t>T85</t>
        </is>
      </c>
      <c r="D38" s="431" t="n">
        <v>19.67</v>
      </c>
      <c r="E38" s="432" t="n">
        <v>54.67</v>
      </c>
      <c r="F38" s="432" t="n">
        <v>89.65000000000001</v>
      </c>
      <c r="G38" s="432" t="n">
        <v>114.67</v>
      </c>
      <c r="H38" s="432" t="n">
        <v>149.62</v>
      </c>
      <c r="I38" s="124" t="inlineStr">
        <is>
          <t>F</t>
        </is>
      </c>
      <c r="J38" s="17" t="n"/>
      <c r="K38" s="7" t="n"/>
      <c r="L38" s="431" t="n">
        <v>20</v>
      </c>
      <c r="M38" s="432" t="n">
        <v>55.02</v>
      </c>
      <c r="N38" s="432" t="n">
        <v>90</v>
      </c>
      <c r="O38" s="432" t="n">
        <v>115</v>
      </c>
      <c r="P38" s="436" t="n">
        <v>150.02</v>
      </c>
      <c r="Q38" s="56" t="n"/>
      <c r="R38" s="95" t="n"/>
    </row>
    <row r="39" ht="13" customHeight="1">
      <c r="A39" s="60" t="n"/>
      <c r="B39" s="106" t="n">
        <v>86</v>
      </c>
      <c r="C39" s="361" t="inlineStr">
        <is>
          <t>T86</t>
        </is>
      </c>
      <c r="D39" s="431" t="n">
        <v>19.67</v>
      </c>
      <c r="E39" s="432" t="n">
        <v>54.68</v>
      </c>
      <c r="F39" s="432" t="n">
        <v>89.76000000000001</v>
      </c>
      <c r="G39" s="432" t="n">
        <v>114.75</v>
      </c>
      <c r="H39" s="432" t="n">
        <v>149.79</v>
      </c>
      <c r="I39" s="124" t="inlineStr">
        <is>
          <t>F</t>
        </is>
      </c>
      <c r="J39" s="17" t="n"/>
      <c r="K39" s="7" t="n"/>
      <c r="L39" s="431" t="n">
        <v>20.01</v>
      </c>
      <c r="M39" s="432" t="n">
        <v>54.98</v>
      </c>
      <c r="N39" s="432" t="n">
        <v>90.01000000000001</v>
      </c>
      <c r="O39" s="432" t="n">
        <v>115.02</v>
      </c>
      <c r="P39" s="436" t="n">
        <v>150</v>
      </c>
      <c r="Q39" s="56" t="n"/>
      <c r="R39" s="95" t="n"/>
    </row>
    <row r="40" ht="13" customHeight="1">
      <c r="A40" s="60" t="n"/>
      <c r="B40" s="106" t="n">
        <v>87</v>
      </c>
      <c r="C40" s="361" t="inlineStr">
        <is>
          <t>T87</t>
        </is>
      </c>
      <c r="D40" s="431" t="n">
        <v>19.79</v>
      </c>
      <c r="E40" s="432" t="n">
        <v>54.78</v>
      </c>
      <c r="F40" s="432" t="n">
        <v>89.84</v>
      </c>
      <c r="G40" s="432" t="n">
        <v>114.82</v>
      </c>
      <c r="H40" s="432" t="n">
        <v>149.78</v>
      </c>
      <c r="I40" s="124" t="inlineStr">
        <is>
          <t>P</t>
        </is>
      </c>
      <c r="J40" s="17" t="n"/>
      <c r="K40" s="7" t="n"/>
      <c r="L40" s="431" t="n"/>
      <c r="M40" s="432" t="n"/>
      <c r="N40" s="432" t="n"/>
      <c r="O40" s="432" t="n"/>
      <c r="P40" s="436" t="n"/>
      <c r="Q40" s="56" t="n"/>
      <c r="R40" s="95" t="n"/>
    </row>
    <row r="41" ht="13" customHeight="1">
      <c r="A41" s="60" t="n"/>
      <c r="B41" s="106" t="n">
        <v>88</v>
      </c>
      <c r="C41" s="361" t="inlineStr">
        <is>
          <t>T88</t>
        </is>
      </c>
      <c r="D41" s="431" t="n">
        <v>19.79</v>
      </c>
      <c r="E41" s="432" t="n">
        <v>54.78</v>
      </c>
      <c r="F41" s="432" t="n">
        <v>89.77</v>
      </c>
      <c r="G41" s="432" t="n">
        <v>114.79</v>
      </c>
      <c r="H41" s="432" t="n">
        <v>149.79</v>
      </c>
      <c r="I41" s="124" t="inlineStr">
        <is>
          <t>P</t>
        </is>
      </c>
      <c r="J41" s="17" t="n"/>
      <c r="K41" s="7" t="n"/>
      <c r="L41" s="431" t="n"/>
      <c r="M41" s="432" t="n"/>
      <c r="N41" s="432" t="n"/>
      <c r="O41" s="432" t="n"/>
      <c r="P41" s="436" t="n"/>
      <c r="Q41" s="56" t="n"/>
      <c r="R41" s="95" t="n"/>
    </row>
    <row r="42" ht="13" customHeight="1">
      <c r="A42" s="60" t="n"/>
      <c r="B42" s="106" t="n">
        <v>89</v>
      </c>
      <c r="C42" s="361" t="inlineStr">
        <is>
          <t>T89</t>
        </is>
      </c>
      <c r="D42" s="431" t="n">
        <v>19.79</v>
      </c>
      <c r="E42" s="432" t="n">
        <v>54.81</v>
      </c>
      <c r="F42" s="432" t="n">
        <v>89.87</v>
      </c>
      <c r="G42" s="432" t="n">
        <v>114.82</v>
      </c>
      <c r="H42" s="432" t="n">
        <v>149.83</v>
      </c>
      <c r="I42" s="124" t="inlineStr">
        <is>
          <t>P</t>
        </is>
      </c>
      <c r="J42" s="17" t="n"/>
      <c r="K42" s="7" t="n"/>
      <c r="L42" s="431" t="n"/>
      <c r="M42" s="432" t="n"/>
      <c r="N42" s="432" t="n"/>
      <c r="O42" s="432" t="n"/>
      <c r="P42" s="436" t="n"/>
      <c r="Q42" s="56" t="n"/>
      <c r="R42" s="95" t="n"/>
    </row>
    <row r="43" ht="13" customHeight="1">
      <c r="A43" s="60" t="n"/>
      <c r="B43" s="106" t="n">
        <v>90</v>
      </c>
      <c r="C43" s="361" t="inlineStr">
        <is>
          <t>T90</t>
        </is>
      </c>
      <c r="D43" s="431" t="n">
        <v>19.83</v>
      </c>
      <c r="E43" s="432" t="n">
        <v>54.84</v>
      </c>
      <c r="F43" s="432" t="n">
        <v>89.895</v>
      </c>
      <c r="G43" s="432" t="n">
        <v>114.88</v>
      </c>
      <c r="H43" s="432" t="n">
        <v>149.83</v>
      </c>
      <c r="I43" s="124" t="inlineStr">
        <is>
          <t>P</t>
        </is>
      </c>
      <c r="J43" s="17" t="n"/>
      <c r="K43" s="7" t="n"/>
      <c r="L43" s="431" t="n"/>
      <c r="M43" s="432" t="n"/>
      <c r="N43" s="432" t="n"/>
      <c r="O43" s="432" t="n"/>
      <c r="P43" s="436" t="n"/>
      <c r="Q43" s="56" t="n"/>
      <c r="R43" s="95" t="n"/>
    </row>
    <row r="44" ht="13" customHeight="1">
      <c r="A44" s="60" t="n"/>
      <c r="B44" s="106" t="n">
        <v>91</v>
      </c>
      <c r="C44" s="361" t="inlineStr">
        <is>
          <t>T91</t>
        </is>
      </c>
      <c r="D44" s="431" t="n">
        <v>19.87</v>
      </c>
      <c r="E44" s="432" t="n">
        <v>54.85</v>
      </c>
      <c r="F44" s="432" t="n">
        <v>89.88</v>
      </c>
      <c r="G44" s="432" t="n">
        <v>114.89</v>
      </c>
      <c r="H44" s="432" t="n">
        <v>149.87</v>
      </c>
      <c r="I44" s="124" t="inlineStr">
        <is>
          <t>P</t>
        </is>
      </c>
      <c r="J44" s="17" t="n"/>
      <c r="K44" s="7" t="n"/>
      <c r="L44" s="431" t="n"/>
      <c r="M44" s="432" t="n"/>
      <c r="N44" s="432" t="n"/>
      <c r="O44" s="432" t="n"/>
      <c r="P44" s="436" t="n"/>
      <c r="Q44" s="56" t="n"/>
      <c r="R44" s="95" t="n"/>
    </row>
    <row r="45" ht="13" customHeight="1">
      <c r="A45" s="60" t="n"/>
      <c r="B45" s="106" t="n">
        <v>92</v>
      </c>
      <c r="C45" s="361" t="inlineStr">
        <is>
          <t>T92</t>
        </is>
      </c>
      <c r="D45" s="431" t="n">
        <v>19.91</v>
      </c>
      <c r="E45" s="432" t="n">
        <v>54.89</v>
      </c>
      <c r="F45" s="432" t="n">
        <v>89.89</v>
      </c>
      <c r="G45" s="432" t="n">
        <v>114.87</v>
      </c>
      <c r="H45" s="432" t="n">
        <v>149.89</v>
      </c>
      <c r="I45" s="124" t="inlineStr">
        <is>
          <t>P</t>
        </is>
      </c>
      <c r="J45" s="17" t="n"/>
      <c r="K45" s="7" t="n"/>
      <c r="L45" s="431" t="n"/>
      <c r="M45" s="432" t="n"/>
      <c r="N45" s="432" t="n"/>
      <c r="O45" s="432" t="n"/>
      <c r="P45" s="436" t="n"/>
      <c r="Q45" s="56" t="n"/>
      <c r="R45" s="95" t="n"/>
    </row>
    <row r="46" ht="13" customHeight="1">
      <c r="A46" s="60" t="n"/>
      <c r="B46" s="106" t="n">
        <v>93</v>
      </c>
      <c r="C46" s="361" t="inlineStr">
        <is>
          <t>T93</t>
        </is>
      </c>
      <c r="D46" s="431" t="n">
        <v>19.9</v>
      </c>
      <c r="E46" s="432" t="n">
        <v>54.89</v>
      </c>
      <c r="F46" s="432" t="n">
        <v>89.93000000000001</v>
      </c>
      <c r="G46" s="432" t="n">
        <v>114.91</v>
      </c>
      <c r="H46" s="432" t="n">
        <v>149.92</v>
      </c>
      <c r="I46" s="124" t="inlineStr">
        <is>
          <t>P</t>
        </is>
      </c>
      <c r="J46" s="17" t="n"/>
      <c r="K46" s="7" t="n"/>
      <c r="L46" s="431" t="n"/>
      <c r="M46" s="432" t="n"/>
      <c r="N46" s="432" t="n"/>
      <c r="O46" s="432" t="n"/>
      <c r="P46" s="436" t="n"/>
      <c r="Q46" s="56" t="n"/>
      <c r="R46" s="95" t="n"/>
    </row>
    <row r="47" ht="13" customHeight="1">
      <c r="A47" s="60" t="n"/>
      <c r="B47" s="106" t="n">
        <v>94</v>
      </c>
      <c r="C47" s="361" t="inlineStr">
        <is>
          <t>T94</t>
        </is>
      </c>
      <c r="D47" s="431" t="n">
        <v>19.85</v>
      </c>
      <c r="E47" s="432" t="n">
        <v>54.83</v>
      </c>
      <c r="F47" s="432" t="n">
        <v>89.87</v>
      </c>
      <c r="G47" s="432" t="n">
        <v>114.85</v>
      </c>
      <c r="H47" s="432" t="n">
        <v>149.84</v>
      </c>
      <c r="I47" s="124" t="inlineStr">
        <is>
          <t>P</t>
        </is>
      </c>
      <c r="J47" s="17" t="n"/>
      <c r="K47" s="7" t="n"/>
      <c r="L47" s="431" t="n"/>
      <c r="M47" s="432" t="n"/>
      <c r="N47" s="432" t="n"/>
      <c r="O47" s="432" t="n"/>
      <c r="P47" s="436" t="n"/>
      <c r="Q47" s="56" t="n"/>
      <c r="R47" s="95" t="n"/>
    </row>
    <row r="48" ht="13" customHeight="1">
      <c r="A48" s="60" t="n"/>
      <c r="B48" s="106" t="n">
        <v>95</v>
      </c>
      <c r="C48" s="361" t="inlineStr">
        <is>
          <t>T95</t>
        </is>
      </c>
      <c r="D48" s="431" t="n">
        <v>19.89</v>
      </c>
      <c r="E48" s="432" t="n">
        <v>54.83</v>
      </c>
      <c r="F48" s="432" t="n">
        <v>89.88</v>
      </c>
      <c r="G48" s="432" t="n">
        <v>114.89</v>
      </c>
      <c r="H48" s="432" t="n">
        <v>149.86</v>
      </c>
      <c r="I48" s="124" t="inlineStr">
        <is>
          <t>P</t>
        </is>
      </c>
      <c r="J48" s="17" t="n"/>
      <c r="K48" s="7" t="n"/>
      <c r="L48" s="431" t="n"/>
      <c r="M48" s="432" t="n"/>
      <c r="N48" s="432" t="n"/>
      <c r="O48" s="432" t="n"/>
      <c r="P48" s="436" t="n"/>
      <c r="Q48" s="56" t="n"/>
      <c r="R48" s="95" t="n"/>
    </row>
    <row r="49" ht="13.5" customHeight="1" thickBot="1">
      <c r="A49" s="60" t="n"/>
      <c r="B49" s="106" t="n">
        <v>96</v>
      </c>
      <c r="C49" s="361" t="inlineStr">
        <is>
          <t>T96</t>
        </is>
      </c>
      <c r="D49" s="107" t="n">
        <v>19.84</v>
      </c>
      <c r="E49" s="108" t="n">
        <v>54.88</v>
      </c>
      <c r="F49" s="108" t="n">
        <v>89.86</v>
      </c>
      <c r="G49" s="108" t="n">
        <v>114.89</v>
      </c>
      <c r="H49" s="108" t="n">
        <v>149.92</v>
      </c>
      <c r="I49" s="124" t="inlineStr">
        <is>
          <t>P</t>
        </is>
      </c>
      <c r="J49" s="17" t="n"/>
      <c r="K49" s="7" t="n"/>
      <c r="L49" s="107" t="n"/>
      <c r="M49" s="108" t="n"/>
      <c r="N49" s="108" t="n"/>
      <c r="O49" s="108" t="n"/>
      <c r="P49" s="109" t="n"/>
      <c r="Q49" s="56" t="n"/>
      <c r="R49" s="95" t="n"/>
    </row>
    <row r="50" ht="13" customHeight="1" thickBot="1">
      <c r="A50" s="44" t="n"/>
      <c r="B50" s="16" t="n"/>
      <c r="C50" s="8" t="inlineStr">
        <is>
          <t xml:space="preserve">         Pre-Cals. Checked By.</t>
        </is>
      </c>
      <c r="D50" s="293" t="inlineStr">
        <is>
          <t>CD</t>
        </is>
      </c>
      <c r="E50" s="437" t="n"/>
      <c r="F50" s="47" t="n"/>
      <c r="G50" s="47" t="n"/>
      <c r="H50" s="47" t="n"/>
      <c r="I50" s="47" t="n"/>
      <c r="J50" s="17" t="n"/>
      <c r="K50" s="47" t="n"/>
      <c r="L50" s="47" t="n"/>
      <c r="M50" s="47" t="n"/>
      <c r="N50" s="47" t="n"/>
      <c r="O50" s="47" t="n"/>
      <c r="P50" s="47" t="n"/>
      <c r="Q50" s="47" t="n"/>
      <c r="R50" s="42" t="n"/>
    </row>
    <row r="51">
      <c r="A51" s="44" t="n"/>
      <c r="B51" s="16" t="n"/>
      <c r="C51" s="47" t="n"/>
      <c r="D51" s="47" t="n"/>
      <c r="E51" s="8" t="n"/>
      <c r="F51" s="8" t="n"/>
      <c r="G51" s="8" t="n"/>
      <c r="H51" s="8" t="n"/>
      <c r="I51" s="8" t="n"/>
      <c r="J51" s="8" t="n"/>
      <c r="K51" s="8" t="n"/>
      <c r="L51" s="8" t="n"/>
      <c r="M51" s="8" t="n"/>
      <c r="N51" s="8" t="n"/>
      <c r="O51" s="47" t="n"/>
      <c r="P51" s="47" t="n"/>
      <c r="Q51" s="311" t="n"/>
      <c r="R51" s="42" t="n"/>
    </row>
    <row r="52" ht="13" customHeight="1" thickBot="1">
      <c r="A52" s="44" t="n"/>
      <c r="B52" s="16" t="n"/>
      <c r="C52" s="47" t="n"/>
      <c r="D52" s="47" t="n"/>
      <c r="E52" s="8" t="n"/>
      <c r="F52" s="16" t="inlineStr">
        <is>
          <t>DEVT No.</t>
        </is>
      </c>
      <c r="G52" s="295" t="inlineStr">
        <is>
          <t>Make / Model</t>
        </is>
      </c>
      <c r="H52" s="366" t="n"/>
      <c r="I52" s="366" t="n"/>
      <c r="J52" s="298" t="inlineStr">
        <is>
          <t>Calibration Due</t>
        </is>
      </c>
      <c r="K52" s="397" t="n"/>
      <c r="L52" s="397" t="n"/>
      <c r="M52" s="8" t="n"/>
      <c r="N52" s="438" t="inlineStr">
        <is>
          <t xml:space="preserve">Set Points are </t>
        </is>
      </c>
      <c r="O52" s="111" t="inlineStr">
        <is>
          <t>20 and 100 °C</t>
        </is>
      </c>
      <c r="P52" s="112" t="n"/>
      <c r="Q52" s="47" t="n"/>
      <c r="R52" s="42" t="n"/>
    </row>
    <row r="53" ht="13" customHeight="1" thickBot="1">
      <c r="A53" s="44" t="n"/>
      <c r="B53" s="16" t="n"/>
      <c r="C53" s="47" t="n"/>
      <c r="D53" s="47" t="n"/>
      <c r="E53" s="8" t="inlineStr">
        <is>
          <t xml:space="preserve">Temperature Simulator Used. </t>
        </is>
      </c>
      <c r="F53" s="293">
        <f>F26</f>
        <v/>
      </c>
      <c r="G53" s="300">
        <f>G26</f>
        <v/>
      </c>
      <c r="H53" s="380" t="n"/>
      <c r="I53" s="437" t="n"/>
      <c r="J53" s="439">
        <f>J26</f>
        <v/>
      </c>
      <c r="K53" s="380" t="n"/>
      <c r="L53" s="437" t="n"/>
      <c r="M53" s="8" t="n"/>
      <c r="N53" s="8" t="n"/>
      <c r="O53" s="16" t="n"/>
      <c r="P53" s="7" t="n"/>
      <c r="Q53" s="7" t="n"/>
      <c r="R53" s="42" t="n"/>
    </row>
    <row r="54" ht="13" customHeight="1" thickBot="1">
      <c r="A54" s="66" t="n"/>
      <c r="B54" s="67" t="n"/>
      <c r="C54" s="67" t="n"/>
      <c r="D54" s="67" t="n"/>
      <c r="E54" s="67" t="n"/>
      <c r="F54" s="67" t="n"/>
      <c r="G54" s="67" t="n"/>
      <c r="H54" s="67" t="n"/>
      <c r="I54" s="67" t="n"/>
      <c r="J54" s="67" t="n"/>
      <c r="K54" s="67" t="n"/>
      <c r="L54" s="67" t="n"/>
      <c r="M54" s="67" t="n"/>
      <c r="N54" s="50" t="n"/>
      <c r="O54" s="67" t="n"/>
      <c r="P54" s="67" t="n"/>
      <c r="Q54" s="67" t="n"/>
      <c r="R54" s="51" t="n"/>
    </row>
    <row r="55" ht="13" customHeight="1" thickTop="1">
      <c r="A55" s="311" t="n"/>
      <c r="B55" s="311" t="n"/>
      <c r="C55" s="311" t="n"/>
      <c r="D55" s="311" t="n"/>
      <c r="E55" s="311" t="n"/>
      <c r="F55" s="311" t="n"/>
      <c r="G55" s="311" t="n"/>
      <c r="H55" s="311" t="n"/>
      <c r="I55" s="311" t="n"/>
      <c r="J55" s="311" t="n"/>
      <c r="K55" s="311" t="n"/>
      <c r="L55" s="311" t="n"/>
      <c r="M55" s="311" t="n"/>
      <c r="N55" s="311" t="n"/>
      <c r="O55" s="311" t="n"/>
      <c r="P55" s="311" t="n"/>
      <c r="Q55" s="311" t="n"/>
      <c r="R55" s="311" t="n"/>
    </row>
  </sheetData>
  <mergeCells count="24">
    <mergeCell ref="P4:Q4"/>
    <mergeCell ref="D35:H35"/>
    <mergeCell ref="F4:G4"/>
    <mergeCell ref="G53:I53"/>
    <mergeCell ref="K31:M31"/>
    <mergeCell ref="J26:L26"/>
    <mergeCell ref="P31:Q31"/>
    <mergeCell ref="C35:C36"/>
    <mergeCell ref="J25:L25"/>
    <mergeCell ref="A2:R2"/>
    <mergeCell ref="G26:I26"/>
    <mergeCell ref="L8:P8"/>
    <mergeCell ref="G25:I25"/>
    <mergeCell ref="L35:P35"/>
    <mergeCell ref="A29:R29"/>
    <mergeCell ref="C8:C9"/>
    <mergeCell ref="K4:M4"/>
    <mergeCell ref="J52:L52"/>
    <mergeCell ref="F31:G31"/>
    <mergeCell ref="G52:I52"/>
    <mergeCell ref="D8:H8"/>
    <mergeCell ref="D23:E23"/>
    <mergeCell ref="D50:E50"/>
    <mergeCell ref="J53:L53"/>
  </mergeCells>
  <conditionalFormatting sqref="L21:O22 L37:O48">
    <cfRule type="cellIs" priority="64" operator="notBetween" dxfId="1" stopIfTrue="1">
      <formula>L$9-0.5</formula>
      <formula>L$9+0.5</formula>
    </cfRule>
    <cfRule type="cellIs" priority="65" operator="notBetween" dxfId="0" stopIfTrue="1">
      <formula>L$9-0.3</formula>
      <formula>L$9+0.3</formula>
    </cfRule>
  </conditionalFormatting>
  <conditionalFormatting sqref="P21:P22 P37:P48">
    <cfRule type="cellIs" priority="57" operator="notBetween" dxfId="0" stopIfTrue="1">
      <formula>P$9-0.3</formula>
      <formula>P$9+0.3</formula>
    </cfRule>
    <cfRule type="cellIs" priority="62" operator="notBetween" dxfId="1" stopIfTrue="1">
      <formula>P$9-0.5</formula>
      <formula>P$9+0.5</formula>
    </cfRule>
  </conditionalFormatting>
  <conditionalFormatting sqref="P17:P20">
    <cfRule type="cellIs" priority="35" operator="notBetween" dxfId="1" stopIfTrue="1">
      <formula>P$9-0.5</formula>
      <formula>P$9+0.5</formula>
    </cfRule>
    <cfRule type="cellIs" priority="36" operator="notBetween" dxfId="0" stopIfTrue="1">
      <formula>P$9-0.3</formula>
      <formula>P$9+0.3</formula>
    </cfRule>
  </conditionalFormatting>
  <conditionalFormatting sqref="D11:H22">
    <cfRule type="cellIs" priority="66" operator="notBetween" dxfId="1" stopIfTrue="1">
      <formula>D$9-0.5</formula>
      <formula>D$9+0.5</formula>
    </cfRule>
    <cfRule type="cellIs" priority="58" operator="notBetween" dxfId="0" stopIfTrue="1">
      <formula>D$9-0.3</formula>
      <formula>D$9+0.3</formula>
    </cfRule>
  </conditionalFormatting>
  <conditionalFormatting sqref="I11:I22">
    <cfRule type="containsText" priority="55" operator="containsText" dxfId="81" stopIfTrue="1" text="P">
      <formula>NOT(ISERROR(SEARCH("P",I11)))</formula>
    </cfRule>
    <cfRule type="containsText" priority="56" operator="containsText" dxfId="80" stopIfTrue="1" text="F">
      <formula>NOT(ISERROR(SEARCH("F",I11)))</formula>
    </cfRule>
  </conditionalFormatting>
  <conditionalFormatting sqref="D10:H10">
    <cfRule type="cellIs" priority="53" operator="notBetween" dxfId="1" stopIfTrue="1">
      <formula>D$9-0.5</formula>
      <formula>D$9+0.5</formula>
    </cfRule>
    <cfRule type="cellIs" priority="54" operator="notBetween" dxfId="0" stopIfTrue="1">
      <formula>D$9-0.3</formula>
      <formula>D$9+0.3</formula>
    </cfRule>
  </conditionalFormatting>
  <conditionalFormatting sqref="I10">
    <cfRule type="containsText" priority="51" operator="containsText" dxfId="81" stopIfTrue="1" text="P">
      <formula>NOT(ISERROR(SEARCH("P",I10)))</formula>
    </cfRule>
    <cfRule type="containsText" priority="52" operator="containsText" dxfId="80" stopIfTrue="1" text="F">
      <formula>NOT(ISERROR(SEARCH("F",I10)))</formula>
    </cfRule>
  </conditionalFormatting>
  <conditionalFormatting sqref="L10:O10 L21:O21">
    <cfRule type="cellIs" priority="49" operator="notBetween" dxfId="1" stopIfTrue="1">
      <formula>L$9-0.5</formula>
      <formula>L$9+0.5</formula>
    </cfRule>
    <cfRule type="cellIs" priority="50" operator="notBetween" dxfId="0" stopIfTrue="1">
      <formula>L$9-0.3</formula>
      <formula>L$9+0.3</formula>
    </cfRule>
  </conditionalFormatting>
  <conditionalFormatting sqref="P10 P21">
    <cfRule type="cellIs" priority="47" operator="notBetween" dxfId="1" stopIfTrue="1">
      <formula>P$9-0.5</formula>
      <formula>P$9+0.5</formula>
    </cfRule>
    <cfRule type="cellIs" priority="48" operator="notBetween" dxfId="0" stopIfTrue="1">
      <formula>P$9-0.3</formula>
      <formula>P$9+0.3</formula>
    </cfRule>
  </conditionalFormatting>
  <conditionalFormatting sqref="L11:O14">
    <cfRule type="cellIs" priority="45" operator="notBetween" dxfId="1" stopIfTrue="1">
      <formula>L$9-0.5</formula>
      <formula>L$9+0.5</formula>
    </cfRule>
    <cfRule type="cellIs" priority="46" operator="notBetween" dxfId="0" stopIfTrue="1">
      <formula>L$9-0.3</formula>
      <formula>L$9+0.3</formula>
    </cfRule>
  </conditionalFormatting>
  <conditionalFormatting sqref="P11:P14">
    <cfRule type="cellIs" priority="43" operator="notBetween" dxfId="1" stopIfTrue="1">
      <formula>P$9-0.5</formula>
      <formula>P$9+0.5</formula>
    </cfRule>
    <cfRule type="cellIs" priority="44" operator="notBetween" dxfId="0" stopIfTrue="1">
      <formula>P$9-0.3</formula>
      <formula>P$9+0.3</formula>
    </cfRule>
  </conditionalFormatting>
  <conditionalFormatting sqref="L15:O16">
    <cfRule type="cellIs" priority="41" operator="notBetween" dxfId="1" stopIfTrue="1">
      <formula>L$9-0.5</formula>
      <formula>L$9+0.5</formula>
    </cfRule>
    <cfRule type="cellIs" priority="42" operator="notBetween" dxfId="0" stopIfTrue="1">
      <formula>L$9-0.3</formula>
      <formula>L$9+0.3</formula>
    </cfRule>
  </conditionalFormatting>
  <conditionalFormatting sqref="P15:P16">
    <cfRule type="cellIs" priority="39" operator="notBetween" dxfId="1" stopIfTrue="1">
      <formula>P$9-0.5</formula>
      <formula>P$9+0.5</formula>
    </cfRule>
    <cfRule type="cellIs" priority="40" operator="notBetween" dxfId="0" stopIfTrue="1">
      <formula>P$9-0.3</formula>
      <formula>P$9+0.3</formula>
    </cfRule>
  </conditionalFormatting>
  <conditionalFormatting sqref="L17:O20">
    <cfRule type="cellIs" priority="37" operator="notBetween" dxfId="1" stopIfTrue="1">
      <formula>L$9-0.5</formula>
      <formula>L$9+0.5</formula>
    </cfRule>
    <cfRule type="cellIs" priority="38" operator="notBetween" dxfId="0" stopIfTrue="1">
      <formula>L$9-0.3</formula>
      <formula>L$9+0.3</formula>
    </cfRule>
  </conditionalFormatting>
  <conditionalFormatting sqref="D37:H48">
    <cfRule type="cellIs" priority="29" operator="notBetween" dxfId="1" stopIfTrue="1">
      <formula>D$9-0.5</formula>
      <formula>D$9+0.5</formula>
    </cfRule>
    <cfRule type="cellIs" priority="30" operator="notBetween" dxfId="0" stopIfTrue="1">
      <formula>D$9-0.3</formula>
      <formula>D$9+0.3</formula>
    </cfRule>
  </conditionalFormatting>
  <conditionalFormatting sqref="D49:H49 L49:O49">
    <cfRule type="cellIs" priority="31" operator="notBetween" dxfId="1" stopIfTrue="1">
      <formula>#REF!-0.5</formula>
      <formula>#REF!+0.5</formula>
    </cfRule>
    <cfRule type="cellIs" priority="32" operator="notBetween" dxfId="0" stopIfTrue="1">
      <formula>#REF!-0.3</formula>
      <formula>#REF!+0.3</formula>
    </cfRule>
  </conditionalFormatting>
  <conditionalFormatting sqref="P49">
    <cfRule type="cellIs" priority="28" operator="notBetween" dxfId="0" stopIfTrue="1">
      <formula>#REF!-0.3</formula>
      <formula>#REF!+0.3</formula>
    </cfRule>
    <cfRule type="cellIs" priority="33" operator="notBetween" dxfId="1" stopIfTrue="1">
      <formula>#REF!-0.5</formula>
      <formula>#REF!+0.5</formula>
    </cfRule>
  </conditionalFormatting>
  <conditionalFormatting sqref="I37:I49">
    <cfRule type="containsText" priority="25" operator="containsText" dxfId="81" stopIfTrue="1" text="P">
      <formula>NOT(ISERROR(SEARCH("P",I37)))</formula>
    </cfRule>
    <cfRule type="containsText" priority="26" operator="containsText" dxfId="80" stopIfTrue="1" text="F">
      <formula>NOT(ISERROR(SEARCH("F",I37)))</formula>
    </cfRule>
  </conditionalFormatting>
  <dataValidations count="1">
    <dataValidation sqref="P4 P31" showDropDown="0" showInputMessage="1" showErrorMessage="1" allowBlank="0" type="list">
      <formula1>"ST1 - TMA40522 (DEVT678),ST2 - TMA40523 (DEVT679),ST3 - TMA40524 (DEVT680),ST4 - TMA40525 (DEVT681),ST5 - TMA40526 (DEVT682),ST6 - TMA40532 (DEVT683),ST7 - TMA40533 (DEVT684),Cold Chamber - TMA56109 (DEVT709)"</formula1>
    </dataValidation>
  </dataValidations>
  <printOptions horizontalCentered="1" verticalCentered="1"/>
  <pageMargins left="0.3149606299212598" right="0.3149606299212598" top="0.3149606299212598" bottom="0.5118110236220472" header="0.3149606299212598" footer="0.3149606299212598"/>
  <pageSetup orientation="landscape" paperSize="9" scale="89" fitToHeight="0"/>
  <headerFooter alignWithMargins="0">
    <oddHeader/>
    <oddFooter>&amp;CTest Bed Calibration Results page &amp;P of &amp;N&amp;R&amp;"Calibri"&amp;11&amp;K000000&amp;"Calibri,Regular"&amp;11&amp;K000000&amp;F_x000d_&amp;1#&amp;"Calibri"&amp;10 &amp;K737373_x000a_&amp;D&amp;LCaterpillar: Confidential Green</oddFooter>
    <evenHeader/>
    <evenFooter/>
    <firstHeader/>
    <firstFooter/>
  </headerFooter>
  <rowBreaks count="1" manualBreakCount="1">
    <brk id="27" min="0" max="16383" man="1"/>
  </rowBreaks>
</worksheet>
</file>

<file path=xl/worksheets/sheet5.xml><?xml version="1.0" encoding="utf-8"?>
<worksheet xmlns="http://schemas.openxmlformats.org/spreadsheetml/2006/main">
  <sheetPr codeName="Sheet12">
    <tabColor rgb="FFE0E0E0"/>
    <outlinePr summaryBelow="1" summaryRight="1"/>
    <pageSetUpPr fitToPage="1"/>
  </sheetPr>
  <dimension ref="A1:R62"/>
  <sheetViews>
    <sheetView topLeftCell="A34" zoomScaleNormal="100" workbookViewId="0">
      <selection activeCell="I58" sqref="I58"/>
    </sheetView>
  </sheetViews>
  <sheetFormatPr baseColWidth="8" defaultColWidth="9.1796875" defaultRowHeight="12.5"/>
  <cols>
    <col width="5.7265625" customWidth="1" style="1" min="1" max="2"/>
    <col width="18" customWidth="1" style="1" min="3" max="3"/>
    <col width="8.7265625" customWidth="1" style="1" min="4" max="9"/>
    <col width="5.7265625" customWidth="1" style="1" min="10" max="10"/>
    <col width="3.7265625" customWidth="1" style="1" min="11" max="11"/>
    <col width="8.7265625" customWidth="1" style="1" min="12" max="15"/>
    <col width="16.26953125" bestFit="1" customWidth="1" style="1" min="16" max="16"/>
    <col width="13.453125" customWidth="1" style="1" min="17" max="17"/>
    <col width="5.7265625" customWidth="1" style="1" min="18" max="18"/>
    <col width="9.1796875" customWidth="1" style="1" min="19" max="16384"/>
  </cols>
  <sheetData>
    <row r="1" ht="15" customFormat="1" customHeight="1" s="4" thickTop="1">
      <c r="A1" s="52" t="n"/>
      <c r="B1" s="53" t="n"/>
      <c r="C1" s="53" t="n"/>
      <c r="D1" s="53" t="n"/>
      <c r="E1" s="53" t="n"/>
      <c r="F1" s="53" t="n"/>
      <c r="G1" s="53" t="n"/>
      <c r="H1" s="53" t="n"/>
      <c r="I1" s="53" t="n"/>
      <c r="J1" s="53" t="n"/>
      <c r="K1" s="53" t="n"/>
      <c r="L1" s="53" t="n"/>
      <c r="M1" s="93" t="n"/>
      <c r="N1" s="93" t="n"/>
      <c r="O1" s="93" t="n"/>
      <c r="P1" s="93" t="n"/>
      <c r="Q1" s="93" t="n"/>
      <c r="R1" s="94" t="n"/>
    </row>
    <row r="2" ht="25" customFormat="1" customHeight="1" s="4">
      <c r="A2" s="419" t="inlineStr">
        <is>
          <t>Test Bed High Temperature Measurement Calibration</t>
        </is>
      </c>
      <c r="B2" s="366" t="n"/>
      <c r="C2" s="366" t="n"/>
      <c r="D2" s="366" t="n"/>
      <c r="E2" s="366" t="n"/>
      <c r="F2" s="366" t="n"/>
      <c r="G2" s="366" t="n"/>
      <c r="H2" s="366" t="n"/>
      <c r="I2" s="366" t="n"/>
      <c r="J2" s="366" t="n"/>
      <c r="K2" s="366" t="n"/>
      <c r="L2" s="366" t="n"/>
      <c r="M2" s="366" t="n"/>
      <c r="N2" s="366" t="n"/>
      <c r="O2" s="366" t="n"/>
      <c r="P2" s="366" t="n"/>
      <c r="Q2" s="366" t="n"/>
      <c r="R2" s="376" t="n"/>
    </row>
    <row r="3" ht="20.5" customFormat="1" customHeight="1" s="2" thickBot="1">
      <c r="A3" s="122" t="n"/>
      <c r="B3" s="121" t="n"/>
      <c r="C3" s="119" t="n"/>
      <c r="D3" s="120" t="n"/>
      <c r="E3" s="120" t="n"/>
      <c r="F3" s="119" t="n"/>
      <c r="G3" s="119" t="n"/>
      <c r="H3" s="119" t="n"/>
      <c r="I3" s="119" t="n"/>
      <c r="J3" s="119" t="n"/>
      <c r="K3" s="119" t="n"/>
      <c r="L3" s="119" t="n"/>
      <c r="M3" s="118" t="n"/>
      <c r="N3" s="118" t="n"/>
      <c r="O3" s="118" t="n"/>
      <c r="P3" s="118" t="n"/>
      <c r="Q3" s="118" t="n"/>
      <c r="R3" s="117" t="n"/>
    </row>
    <row r="4" ht="16" customFormat="1" customHeight="1" s="2" thickBot="1">
      <c r="A4" s="41" t="n"/>
      <c r="B4" s="8" t="inlineStr">
        <is>
          <t xml:space="preserve">Job No. </t>
        </is>
      </c>
      <c r="C4" s="154">
        <f>Title!C4</f>
        <v/>
      </c>
      <c r="D4" s="6" t="n"/>
      <c r="E4" s="8" t="inlineStr">
        <is>
          <t xml:space="preserve">Calibrated By. </t>
        </is>
      </c>
      <c r="F4" s="14">
        <f>Title!C3</f>
        <v/>
      </c>
      <c r="G4" s="378" t="n"/>
      <c r="H4" s="6" t="n"/>
      <c r="I4" s="6" t="n"/>
      <c r="J4" s="8" t="inlineStr">
        <is>
          <t xml:space="preserve">Calibration Date. </t>
        </is>
      </c>
      <c r="K4" s="420">
        <f>Title!C9</f>
        <v/>
      </c>
      <c r="L4" s="380" t="n"/>
      <c r="M4" s="378" t="n"/>
      <c r="N4" s="7" t="n"/>
      <c r="O4" s="8" t="inlineStr">
        <is>
          <t>Bed No.</t>
        </is>
      </c>
      <c r="P4" s="421">
        <f>Title!F3</f>
        <v/>
      </c>
      <c r="Q4" s="378" t="n"/>
      <c r="R4" s="57" t="n"/>
    </row>
    <row r="5" ht="15" customFormat="1" customHeight="1" s="2">
      <c r="A5" s="41" t="n"/>
      <c r="B5" s="6" t="n"/>
      <c r="C5" s="6" t="n"/>
      <c r="D5" s="8" t="n"/>
      <c r="E5" s="8" t="n"/>
      <c r="F5" s="6" t="n"/>
      <c r="G5" s="8" t="n"/>
      <c r="H5" s="7" t="n"/>
      <c r="I5" s="7" t="n"/>
      <c r="J5" s="16" t="n"/>
      <c r="K5" s="7" t="n"/>
      <c r="L5" s="7" t="n"/>
      <c r="M5" s="7" t="n"/>
      <c r="N5" s="7" t="n"/>
      <c r="O5" s="7" t="n"/>
      <c r="P5" s="7" t="n"/>
      <c r="Q5" s="7" t="n"/>
      <c r="R5" s="42" t="n"/>
    </row>
    <row r="6" ht="15" customFormat="1" customHeight="1" s="3">
      <c r="A6" s="40" t="inlineStr">
        <is>
          <t>Acceptable Deviation: +/- 5°C, adjust if error &gt;4°C</t>
        </is>
      </c>
      <c r="B6" s="19" t="n"/>
      <c r="C6" s="19" t="n"/>
      <c r="D6" s="19" t="n"/>
      <c r="E6" s="19" t="n"/>
      <c r="F6" s="19" t="n"/>
      <c r="G6" s="19" t="n"/>
      <c r="H6" s="70" t="n"/>
      <c r="I6" s="19" t="n"/>
      <c r="J6" s="19" t="n"/>
      <c r="K6" s="19" t="n"/>
      <c r="L6" s="19" t="n"/>
      <c r="M6" s="19" t="n"/>
      <c r="N6" s="19" t="n"/>
      <c r="O6" s="19" t="n"/>
      <c r="P6" s="19" t="n"/>
      <c r="Q6" s="19" t="n"/>
      <c r="R6" s="43" t="n"/>
    </row>
    <row r="7" ht="15" customFormat="1" customHeight="1" s="2" thickBot="1">
      <c r="A7" s="41" t="n"/>
      <c r="B7" s="297" t="n"/>
      <c r="C7" s="6" t="n"/>
      <c r="D7" s="6" t="n"/>
      <c r="E7" s="6" t="n"/>
      <c r="F7" s="6" t="n"/>
      <c r="G7" s="6" t="n"/>
      <c r="H7" s="6" t="n"/>
      <c r="I7" s="6" t="n"/>
      <c r="J7" s="6" t="n"/>
      <c r="K7" s="7" t="n"/>
      <c r="L7" s="7" t="n"/>
      <c r="M7" s="7" t="n"/>
      <c r="N7" s="7" t="n"/>
      <c r="O7" s="7" t="n"/>
      <c r="P7" s="7" t="n"/>
      <c r="Q7" s="7" t="n"/>
      <c r="R7" s="42" t="n"/>
    </row>
    <row r="8" ht="15" customFormat="1" customHeight="1" s="2">
      <c r="A8" s="44" t="n"/>
      <c r="B8" s="99" t="inlineStr">
        <is>
          <t>Chan.</t>
        </is>
      </c>
      <c r="C8" s="422" t="inlineStr">
        <is>
          <t>Channel Name</t>
        </is>
      </c>
      <c r="D8" s="423" t="inlineStr">
        <is>
          <t>Pre-Calibration Set Points °C.</t>
        </is>
      </c>
      <c r="E8" s="424" t="n"/>
      <c r="F8" s="424" t="n"/>
      <c r="G8" s="424" t="n"/>
      <c r="H8" s="425" t="n"/>
      <c r="I8" s="100" t="inlineStr">
        <is>
          <t>Pass/Fail</t>
        </is>
      </c>
      <c r="J8" s="6" t="n"/>
      <c r="K8" s="7" t="n"/>
      <c r="L8" s="423" t="inlineStr">
        <is>
          <t>Post-Calibration Set Points °C.</t>
        </is>
      </c>
      <c r="M8" s="424" t="n"/>
      <c r="N8" s="424" t="n"/>
      <c r="O8" s="424" t="n"/>
      <c r="P8" s="425" t="n"/>
      <c r="Q8" s="7" t="n"/>
      <c r="R8" s="42" t="n"/>
    </row>
    <row r="9" ht="15" customFormat="1" customHeight="1" s="2" thickBot="1">
      <c r="A9" s="44" t="n"/>
      <c r="B9" s="101" t="inlineStr">
        <is>
          <t>No.</t>
        </is>
      </c>
      <c r="C9" s="426" t="n"/>
      <c r="D9" s="427" t="n">
        <v>0</v>
      </c>
      <c r="E9" s="440" t="n">
        <v>250</v>
      </c>
      <c r="F9" s="428" t="n">
        <v>500</v>
      </c>
      <c r="G9" s="428" t="n">
        <v>750</v>
      </c>
      <c r="H9" s="428" t="n">
        <v>1000</v>
      </c>
      <c r="I9" s="123" t="inlineStr">
        <is>
          <t>(P/F)</t>
        </is>
      </c>
      <c r="J9" s="6" t="n"/>
      <c r="K9" s="7" t="n"/>
      <c r="L9" s="427" t="n">
        <v>0</v>
      </c>
      <c r="M9" s="428" t="n">
        <v>250</v>
      </c>
      <c r="N9" s="428" t="n">
        <v>500</v>
      </c>
      <c r="O9" s="428" t="n">
        <v>750</v>
      </c>
      <c r="P9" s="430" t="n">
        <v>1000</v>
      </c>
      <c r="Q9" s="7" t="n"/>
      <c r="R9" s="42" t="n"/>
    </row>
    <row r="10" ht="15" customFormat="1" customHeight="1" s="2">
      <c r="A10" s="44" t="n"/>
      <c r="B10" s="106" t="n">
        <v>1</v>
      </c>
      <c r="C10" s="218" t="inlineStr">
        <is>
          <t>TCK 1</t>
        </is>
      </c>
      <c r="D10" s="431" t="n">
        <v>0</v>
      </c>
      <c r="E10" s="432" t="n">
        <v>249.9</v>
      </c>
      <c r="F10" s="432" t="n">
        <v>500.4</v>
      </c>
      <c r="G10" s="432" t="n">
        <v>749.8</v>
      </c>
      <c r="H10" s="432" t="n">
        <v>1000</v>
      </c>
      <c r="I10" s="124" t="inlineStr">
        <is>
          <t>P</t>
        </is>
      </c>
      <c r="J10" s="6" t="n"/>
      <c r="K10" s="7" t="n"/>
      <c r="L10" s="431" t="n"/>
      <c r="M10" s="432" t="n"/>
      <c r="N10" s="432" t="n"/>
      <c r="O10" s="432" t="n"/>
      <c r="P10" s="436" t="n"/>
      <c r="Q10" s="7" t="n"/>
      <c r="R10" s="42" t="n"/>
    </row>
    <row r="11" ht="15" customFormat="1" customHeight="1" s="2">
      <c r="A11" s="44" t="n"/>
      <c r="B11" s="106" t="n">
        <v>2</v>
      </c>
      <c r="C11" s="218" t="inlineStr">
        <is>
          <t>TCK 2</t>
        </is>
      </c>
      <c r="D11" s="431" t="n">
        <v>0</v>
      </c>
      <c r="E11" s="432" t="n">
        <v>248.3</v>
      </c>
      <c r="F11" s="432" t="n">
        <v>501.1</v>
      </c>
      <c r="G11" s="432" t="n">
        <v>752.1</v>
      </c>
      <c r="H11" s="432" t="n">
        <v>1001.1</v>
      </c>
      <c r="I11" s="124" t="inlineStr">
        <is>
          <t>P</t>
        </is>
      </c>
      <c r="J11" s="6" t="n"/>
      <c r="K11" s="7" t="n"/>
      <c r="L11" s="431" t="n"/>
      <c r="M11" s="432" t="n"/>
      <c r="N11" s="432" t="n"/>
      <c r="O11" s="432" t="n"/>
      <c r="P11" s="436" t="n"/>
      <c r="Q11" s="7" t="n"/>
      <c r="R11" s="42" t="n"/>
    </row>
    <row r="12" ht="15" customFormat="1" customHeight="1" s="2">
      <c r="A12" s="44" t="n"/>
      <c r="B12" s="106" t="n">
        <v>3</v>
      </c>
      <c r="C12" s="218" t="inlineStr">
        <is>
          <t>TCK 3</t>
        </is>
      </c>
      <c r="D12" s="431" t="n">
        <v>0</v>
      </c>
      <c r="E12" s="432" t="n">
        <v>248</v>
      </c>
      <c r="F12" s="432" t="n">
        <v>499.2</v>
      </c>
      <c r="G12" s="432" t="n">
        <v>748.4</v>
      </c>
      <c r="H12" s="432" t="n">
        <v>998.3</v>
      </c>
      <c r="I12" s="124" t="inlineStr">
        <is>
          <t>P</t>
        </is>
      </c>
      <c r="J12" s="6" t="n"/>
      <c r="K12" s="7" t="n"/>
      <c r="L12" s="431" t="n"/>
      <c r="M12" s="432" t="n"/>
      <c r="N12" s="432" t="n"/>
      <c r="O12" s="432" t="n"/>
      <c r="P12" s="436" t="n"/>
      <c r="Q12" s="7" t="n"/>
      <c r="R12" s="42" t="n"/>
    </row>
    <row r="13" ht="15" customFormat="1" customHeight="1" s="2">
      <c r="A13" s="44" t="n"/>
      <c r="B13" s="106" t="n">
        <v>4</v>
      </c>
      <c r="C13" s="218" t="inlineStr">
        <is>
          <t>TCK 4</t>
        </is>
      </c>
      <c r="D13" s="431" t="n">
        <v>-0.2</v>
      </c>
      <c r="E13" s="432" t="n">
        <v>249.2</v>
      </c>
      <c r="F13" s="432" t="n">
        <v>498</v>
      </c>
      <c r="G13" s="432" t="n">
        <v>750</v>
      </c>
      <c r="H13" s="432" t="n">
        <v>1000.3</v>
      </c>
      <c r="I13" s="124" t="inlineStr">
        <is>
          <t>P</t>
        </is>
      </c>
      <c r="J13" s="6" t="n"/>
      <c r="K13" s="7" t="n"/>
      <c r="L13" s="431" t="n"/>
      <c r="M13" s="432" t="n"/>
      <c r="N13" s="432" t="n"/>
      <c r="O13" s="432" t="n"/>
      <c r="P13" s="436" t="n"/>
      <c r="Q13" s="7" t="n"/>
      <c r="R13" s="42" t="n"/>
    </row>
    <row r="14" ht="15" customFormat="1" customHeight="1" s="2">
      <c r="A14" s="44" t="n"/>
      <c r="B14" s="106" t="n">
        <v>5</v>
      </c>
      <c r="C14" s="218" t="inlineStr">
        <is>
          <t>TCK 5</t>
        </is>
      </c>
      <c r="D14" s="431" t="n">
        <v>-0.1</v>
      </c>
      <c r="E14" s="432" t="n">
        <v>249.4</v>
      </c>
      <c r="F14" s="432" t="n">
        <v>501.3</v>
      </c>
      <c r="G14" s="432" t="n">
        <v>751.9</v>
      </c>
      <c r="H14" s="432" t="n">
        <v>1000.2</v>
      </c>
      <c r="I14" s="124" t="inlineStr">
        <is>
          <t>P</t>
        </is>
      </c>
      <c r="J14" s="6" t="n"/>
      <c r="K14" s="7" t="n"/>
      <c r="L14" s="431" t="n"/>
      <c r="M14" s="432" t="n"/>
      <c r="N14" s="432" t="n"/>
      <c r="O14" s="432" t="n"/>
      <c r="P14" s="436" t="n"/>
      <c r="Q14" s="7" t="n"/>
      <c r="R14" s="42" t="n"/>
    </row>
    <row r="15" ht="15" customFormat="1" customHeight="1" s="2">
      <c r="A15" s="44" t="n"/>
      <c r="B15" s="106" t="n">
        <v>6</v>
      </c>
      <c r="C15" s="218" t="inlineStr">
        <is>
          <t>TCK 6</t>
        </is>
      </c>
      <c r="D15" s="431" t="n">
        <v>-0.3</v>
      </c>
      <c r="E15" s="432" t="n">
        <v>249.6</v>
      </c>
      <c r="F15" s="432" t="n">
        <v>499.7</v>
      </c>
      <c r="G15" s="432" t="n">
        <v>749.5</v>
      </c>
      <c r="H15" s="432" t="n">
        <v>1000.2</v>
      </c>
      <c r="I15" s="124" t="inlineStr">
        <is>
          <t>P</t>
        </is>
      </c>
      <c r="J15" s="6" t="n"/>
      <c r="K15" s="7" t="n"/>
      <c r="L15" s="431" t="n"/>
      <c r="M15" s="432" t="n"/>
      <c r="N15" s="432" t="n"/>
      <c r="O15" s="432" t="n"/>
      <c r="P15" s="436" t="n"/>
      <c r="Q15" s="7" t="n"/>
      <c r="R15" s="42" t="n"/>
    </row>
    <row r="16" ht="15" customFormat="1" customHeight="1" s="2">
      <c r="A16" s="44" t="n"/>
      <c r="B16" s="106" t="n">
        <v>7</v>
      </c>
      <c r="C16" s="218" t="inlineStr">
        <is>
          <t>TCK 7</t>
        </is>
      </c>
      <c r="D16" s="431" t="n">
        <v>0</v>
      </c>
      <c r="E16" s="432" t="n">
        <v>249</v>
      </c>
      <c r="F16" s="432" t="n">
        <v>500.3</v>
      </c>
      <c r="G16" s="432" t="n">
        <v>750.3</v>
      </c>
      <c r="H16" s="432" t="n">
        <v>1000.6</v>
      </c>
      <c r="I16" s="124" t="inlineStr">
        <is>
          <t>P</t>
        </is>
      </c>
      <c r="J16" s="6" t="n"/>
      <c r="K16" s="7" t="n"/>
      <c r="L16" s="431" t="n"/>
      <c r="M16" s="432" t="n"/>
      <c r="N16" s="432" t="n"/>
      <c r="O16" s="432" t="n"/>
      <c r="P16" s="436" t="n"/>
      <c r="Q16" s="7" t="n"/>
      <c r="R16" s="42" t="n"/>
    </row>
    <row r="17" ht="15" customFormat="1" customHeight="1" s="2">
      <c r="A17" s="44" t="n"/>
      <c r="B17" s="106" t="n">
        <v>8</v>
      </c>
      <c r="C17" s="218" t="inlineStr">
        <is>
          <t>TCK 8</t>
        </is>
      </c>
      <c r="D17" s="431" t="n">
        <v>0</v>
      </c>
      <c r="E17" s="432" t="n">
        <v>248.8</v>
      </c>
      <c r="F17" s="432" t="n">
        <v>499.89</v>
      </c>
      <c r="G17" s="432" t="n">
        <v>748.6</v>
      </c>
      <c r="H17" s="432" t="n">
        <v>999.2</v>
      </c>
      <c r="I17" s="124" t="inlineStr">
        <is>
          <t>P</t>
        </is>
      </c>
      <c r="J17" s="6" t="n"/>
      <c r="K17" s="7" t="n"/>
      <c r="L17" s="431" t="n"/>
      <c r="M17" s="432" t="n"/>
      <c r="N17" s="432" t="n"/>
      <c r="O17" s="432" t="n"/>
      <c r="P17" s="436" t="n"/>
      <c r="Q17" s="7" t="n"/>
      <c r="R17" s="42" t="n"/>
    </row>
    <row r="18" ht="15" customFormat="1" customHeight="1" s="2">
      <c r="A18" s="44" t="n"/>
      <c r="B18" s="106" t="n">
        <v>9</v>
      </c>
      <c r="C18" s="218" t="inlineStr">
        <is>
          <t>TCK 9</t>
        </is>
      </c>
      <c r="D18" s="431" t="n">
        <v>-0.4</v>
      </c>
      <c r="E18" s="432" t="n">
        <v>249.2</v>
      </c>
      <c r="F18" s="432" t="n">
        <v>499.5</v>
      </c>
      <c r="G18" s="432" t="n">
        <v>749.7</v>
      </c>
      <c r="H18" s="432" t="n">
        <v>1000.3</v>
      </c>
      <c r="I18" s="124" t="inlineStr">
        <is>
          <t>P</t>
        </is>
      </c>
      <c r="J18" s="6" t="n"/>
      <c r="K18" s="7" t="n"/>
      <c r="L18" s="431" t="n"/>
      <c r="M18" s="432" t="n"/>
      <c r="N18" s="432" t="n"/>
      <c r="O18" s="432" t="n"/>
      <c r="P18" s="436" t="n"/>
      <c r="Q18" s="7" t="n"/>
      <c r="R18" s="42" t="n"/>
    </row>
    <row r="19" ht="15" customFormat="1" customHeight="1" s="2">
      <c r="A19" s="44" t="n"/>
      <c r="B19" s="106" t="n">
        <v>10</v>
      </c>
      <c r="C19" s="218" t="inlineStr">
        <is>
          <t>TCK 10</t>
        </is>
      </c>
      <c r="D19" s="431" t="n">
        <v>0.5</v>
      </c>
      <c r="E19" s="432" t="n">
        <v>250</v>
      </c>
      <c r="F19" s="432" t="n">
        <v>500.4</v>
      </c>
      <c r="G19" s="432" t="n">
        <v>750.4</v>
      </c>
      <c r="H19" s="432" t="n">
        <v>999.8</v>
      </c>
      <c r="I19" s="124" t="inlineStr">
        <is>
          <t>P</t>
        </is>
      </c>
      <c r="J19" s="6" t="n"/>
      <c r="K19" s="7" t="n"/>
      <c r="L19" s="431" t="n"/>
      <c r="M19" s="432" t="n"/>
      <c r="N19" s="432" t="n"/>
      <c r="O19" s="432" t="n"/>
      <c r="P19" s="436" t="n"/>
      <c r="Q19" s="7" t="n"/>
      <c r="R19" s="42" t="n"/>
    </row>
    <row r="20" ht="15" customFormat="1" customHeight="1" s="2">
      <c r="A20" s="44" t="n"/>
      <c r="B20" s="106" t="n">
        <v>11</v>
      </c>
      <c r="C20" s="218" t="inlineStr">
        <is>
          <t>TCK 11</t>
        </is>
      </c>
      <c r="D20" s="431" t="n">
        <v>0.1</v>
      </c>
      <c r="E20" s="432" t="n">
        <v>250.1</v>
      </c>
      <c r="F20" s="432" t="n">
        <v>499.9</v>
      </c>
      <c r="G20" s="432" t="n">
        <v>749.3</v>
      </c>
      <c r="H20" s="432" t="n">
        <v>1000.4</v>
      </c>
      <c r="I20" s="124" t="inlineStr">
        <is>
          <t>P</t>
        </is>
      </c>
      <c r="J20" s="6" t="n"/>
      <c r="K20" s="7" t="n"/>
      <c r="L20" s="431" t="n"/>
      <c r="M20" s="432" t="n"/>
      <c r="N20" s="432" t="n"/>
      <c r="O20" s="432" t="n"/>
      <c r="P20" s="436" t="n"/>
      <c r="Q20" s="7" t="n"/>
      <c r="R20" s="42" t="n"/>
    </row>
    <row r="21" ht="15" customFormat="1" customHeight="1" s="2">
      <c r="A21" s="44" t="n"/>
      <c r="B21" s="106" t="n">
        <v>12</v>
      </c>
      <c r="C21" s="218" t="inlineStr">
        <is>
          <t>TCK 12</t>
        </is>
      </c>
      <c r="D21" s="431" t="n">
        <v>-0.2</v>
      </c>
      <c r="E21" s="432" t="n">
        <v>249.7</v>
      </c>
      <c r="F21" s="432" t="n">
        <v>499.7</v>
      </c>
      <c r="G21" s="432" t="n">
        <v>749.6</v>
      </c>
      <c r="H21" s="432" t="n">
        <v>1000.1</v>
      </c>
      <c r="I21" s="124" t="inlineStr">
        <is>
          <t>P</t>
        </is>
      </c>
      <c r="J21" s="6" t="n"/>
      <c r="K21" s="7" t="n"/>
      <c r="L21" s="431" t="n"/>
      <c r="M21" s="432" t="n"/>
      <c r="N21" s="432" t="n"/>
      <c r="O21" s="432" t="n"/>
      <c r="P21" s="436" t="n"/>
      <c r="Q21" s="7" t="n"/>
      <c r="R21" s="42" t="n"/>
    </row>
    <row r="22" ht="15" customFormat="1" customHeight="1" s="2">
      <c r="A22" s="44" t="n"/>
      <c r="B22" s="106" t="n">
        <v>13</v>
      </c>
      <c r="C22" s="218" t="inlineStr">
        <is>
          <t>TCK 13</t>
        </is>
      </c>
      <c r="D22" s="431" t="n">
        <v>-0.7</v>
      </c>
      <c r="E22" s="432" t="n">
        <v>249.5</v>
      </c>
      <c r="F22" s="432" t="n">
        <v>499.4</v>
      </c>
      <c r="G22" s="432" t="n">
        <v>750.5</v>
      </c>
      <c r="H22" s="432" t="n">
        <v>1000.7</v>
      </c>
      <c r="I22" s="124" t="inlineStr">
        <is>
          <t>P</t>
        </is>
      </c>
      <c r="J22" s="6" t="n"/>
      <c r="K22" s="7" t="n"/>
      <c r="L22" s="431" t="n"/>
      <c r="M22" s="432" t="n"/>
      <c r="N22" s="432" t="n"/>
      <c r="O22" s="432" t="n"/>
      <c r="P22" s="436" t="n"/>
      <c r="Q22" s="7" t="n"/>
      <c r="R22" s="42" t="n"/>
    </row>
    <row r="23" ht="15" customFormat="1" customHeight="1" s="2">
      <c r="A23" s="44" t="n"/>
      <c r="B23" s="106" t="n">
        <v>14</v>
      </c>
      <c r="C23" s="218" t="inlineStr">
        <is>
          <t>TCK 14</t>
        </is>
      </c>
      <c r="D23" s="431" t="n">
        <v>-0.9</v>
      </c>
      <c r="E23" s="432" t="n">
        <v>249.8</v>
      </c>
      <c r="F23" s="432" t="n">
        <v>500.5</v>
      </c>
      <c r="G23" s="432" t="n">
        <v>750.1</v>
      </c>
      <c r="H23" s="432" t="n">
        <v>1000.1</v>
      </c>
      <c r="I23" s="124" t="inlineStr">
        <is>
          <t>P</t>
        </is>
      </c>
      <c r="J23" s="6" t="n"/>
      <c r="K23" s="7" t="n"/>
      <c r="L23" s="431" t="n"/>
      <c r="M23" s="432" t="n"/>
      <c r="N23" s="432" t="n"/>
      <c r="O23" s="432" t="n"/>
      <c r="P23" s="436" t="n"/>
      <c r="Q23" s="7" t="n"/>
      <c r="R23" s="42" t="n"/>
    </row>
    <row r="24" ht="15" customFormat="1" customHeight="1" s="2">
      <c r="A24" s="44" t="n"/>
      <c r="B24" s="106" t="n">
        <v>15</v>
      </c>
      <c r="C24" s="218" t="inlineStr">
        <is>
          <t>TCK 15</t>
        </is>
      </c>
      <c r="D24" s="431" t="n">
        <v>-0.3</v>
      </c>
      <c r="E24" s="432" t="n">
        <v>247.9</v>
      </c>
      <c r="F24" s="432" t="n">
        <v>499.9</v>
      </c>
      <c r="G24" s="432" t="n">
        <v>750.1</v>
      </c>
      <c r="H24" s="432" t="n">
        <v>1000</v>
      </c>
      <c r="I24" s="124" t="inlineStr">
        <is>
          <t>P</t>
        </is>
      </c>
      <c r="J24" s="6" t="n"/>
      <c r="K24" s="7" t="n"/>
      <c r="L24" s="431" t="n"/>
      <c r="M24" s="432" t="n"/>
      <c r="N24" s="432" t="n"/>
      <c r="O24" s="432" t="n"/>
      <c r="P24" s="436" t="n"/>
      <c r="Q24" s="7" t="n"/>
      <c r="R24" s="42" t="n"/>
    </row>
    <row r="25" ht="15" customFormat="1" customHeight="1" s="2">
      <c r="A25" s="44" t="n"/>
      <c r="B25" s="106" t="n">
        <v>16</v>
      </c>
      <c r="C25" s="218" t="inlineStr">
        <is>
          <t>TCK 16</t>
        </is>
      </c>
      <c r="D25" s="431" t="n">
        <v>0</v>
      </c>
      <c r="E25" s="432" t="n">
        <v>249.4</v>
      </c>
      <c r="F25" s="432" t="n">
        <v>499.5</v>
      </c>
      <c r="G25" s="432" t="n">
        <v>750.3</v>
      </c>
      <c r="H25" s="432" t="n">
        <v>999.1</v>
      </c>
      <c r="I25" s="124" t="inlineStr">
        <is>
          <t>P</t>
        </is>
      </c>
      <c r="J25" s="6" t="n"/>
      <c r="K25" s="7" t="n"/>
      <c r="L25" s="431" t="n"/>
      <c r="M25" s="432" t="n"/>
      <c r="N25" s="432" t="n"/>
      <c r="O25" s="432" t="n"/>
      <c r="P25" s="436" t="n"/>
      <c r="Q25" s="7" t="n"/>
      <c r="R25" s="42" t="n"/>
    </row>
    <row r="26" ht="15" customFormat="1" customHeight="1" s="2">
      <c r="A26" s="44" t="n"/>
      <c r="B26" s="106" t="n">
        <v>17</v>
      </c>
      <c r="C26" s="218" t="inlineStr">
        <is>
          <t>TCK 17</t>
        </is>
      </c>
      <c r="D26" s="431" t="n">
        <v>0.8</v>
      </c>
      <c r="E26" s="432" t="n">
        <v>249.4</v>
      </c>
      <c r="F26" s="432" t="n">
        <v>500.5</v>
      </c>
      <c r="G26" s="432" t="n">
        <v>751.2</v>
      </c>
      <c r="H26" s="432" t="n">
        <v>1000.1</v>
      </c>
      <c r="I26" s="124" t="inlineStr">
        <is>
          <t>P</t>
        </is>
      </c>
      <c r="J26" s="6" t="n"/>
      <c r="K26" s="7" t="n"/>
      <c r="L26" s="431" t="n"/>
      <c r="M26" s="432" t="n"/>
      <c r="N26" s="432" t="n"/>
      <c r="O26" s="432" t="n"/>
      <c r="P26" s="436" t="n"/>
      <c r="Q26" s="7" t="n"/>
      <c r="R26" s="42" t="n"/>
    </row>
    <row r="27" ht="15" customFormat="1" customHeight="1" s="2">
      <c r="A27" s="44" t="n"/>
      <c r="B27" s="106" t="n">
        <v>18</v>
      </c>
      <c r="C27" s="218" t="inlineStr">
        <is>
          <t>TCK 18</t>
        </is>
      </c>
      <c r="D27" s="431" t="n">
        <v>-1.7</v>
      </c>
      <c r="E27" s="432" t="n">
        <v>248.3</v>
      </c>
      <c r="F27" s="432" t="n">
        <v>498.4</v>
      </c>
      <c r="G27" s="432" t="n">
        <v>748</v>
      </c>
      <c r="H27" s="432" t="n">
        <v>998.7</v>
      </c>
      <c r="I27" s="124" t="inlineStr">
        <is>
          <t>P</t>
        </is>
      </c>
      <c r="J27" s="6" t="n"/>
      <c r="K27" s="7" t="n"/>
      <c r="L27" s="431" t="n"/>
      <c r="M27" s="432" t="n"/>
      <c r="N27" s="432" t="n"/>
      <c r="O27" s="432" t="n"/>
      <c r="P27" s="436" t="n"/>
      <c r="Q27" s="7" t="n"/>
      <c r="R27" s="42" t="n"/>
    </row>
    <row r="28" ht="15" customFormat="1" customHeight="1" s="2">
      <c r="A28" s="44" t="n"/>
      <c r="B28" s="106" t="n">
        <v>19</v>
      </c>
      <c r="C28" s="218" t="inlineStr">
        <is>
          <t>TCK 19</t>
        </is>
      </c>
      <c r="D28" s="431" t="n">
        <v>-0.5</v>
      </c>
      <c r="E28" s="432" t="n">
        <v>249.1</v>
      </c>
      <c r="F28" s="432" t="n">
        <v>499.5</v>
      </c>
      <c r="G28" s="432" t="n">
        <v>749.8</v>
      </c>
      <c r="H28" s="432" t="n">
        <v>1000.4</v>
      </c>
      <c r="I28" s="124" t="inlineStr">
        <is>
          <t>P</t>
        </is>
      </c>
      <c r="J28" s="6" t="n"/>
      <c r="K28" s="7" t="n"/>
      <c r="L28" s="431" t="n"/>
      <c r="M28" s="432" t="n"/>
      <c r="N28" s="432" t="n"/>
      <c r="O28" s="432" t="n"/>
      <c r="P28" s="436" t="n"/>
      <c r="Q28" s="7" t="n"/>
      <c r="R28" s="42" t="n"/>
    </row>
    <row r="29" ht="15" customFormat="1" customHeight="1" s="2" thickBot="1">
      <c r="A29" s="44" t="n"/>
      <c r="B29" s="106" t="n">
        <v>20</v>
      </c>
      <c r="C29" s="218" t="inlineStr">
        <is>
          <t>TCK 20</t>
        </is>
      </c>
      <c r="D29" s="431" t="n">
        <v>0</v>
      </c>
      <c r="E29" s="432" t="n">
        <v>250.2</v>
      </c>
      <c r="F29" s="432" t="n">
        <v>499.4</v>
      </c>
      <c r="G29" s="432" t="n">
        <v>750.6</v>
      </c>
      <c r="H29" s="432" t="n">
        <v>1000.2</v>
      </c>
      <c r="I29" s="124" t="inlineStr">
        <is>
          <t>P</t>
        </is>
      </c>
      <c r="J29" s="6" t="n"/>
      <c r="K29" s="7" t="n"/>
      <c r="L29" s="431" t="n"/>
      <c r="M29" s="432" t="n"/>
      <c r="N29" s="432" t="n"/>
      <c r="O29" s="432" t="n"/>
      <c r="P29" s="436" t="n"/>
      <c r="Q29" s="7" t="n"/>
      <c r="R29" s="42" t="n"/>
    </row>
    <row r="30" ht="15" customFormat="1" customHeight="1" s="2" thickBot="1">
      <c r="A30" s="44" t="n"/>
      <c r="B30" s="47" t="n"/>
      <c r="C30" s="8" t="inlineStr">
        <is>
          <t xml:space="preserve">         Pre-Cals. Checked By.</t>
        </is>
      </c>
      <c r="D30" s="293" t="inlineStr">
        <is>
          <t>CD</t>
        </is>
      </c>
      <c r="E30" s="437" t="n"/>
      <c r="F30" s="47" t="n"/>
      <c r="G30" s="47" t="n"/>
      <c r="H30" s="47" t="n"/>
      <c r="I30" s="47" t="n"/>
      <c r="J30" s="47" t="n"/>
      <c r="K30" s="47" t="n"/>
      <c r="L30" s="47" t="n"/>
      <c r="M30" s="47" t="n"/>
      <c r="N30" s="47" t="n"/>
      <c r="O30" s="47" t="n"/>
      <c r="P30" s="47" t="n"/>
      <c r="Q30" s="47" t="n"/>
      <c r="R30" s="115" t="n"/>
    </row>
    <row r="31" ht="15" customFormat="1" customHeight="1" s="2" thickBot="1">
      <c r="A31" s="60" t="n"/>
      <c r="B31" s="16" t="n"/>
      <c r="C31" s="47" t="n"/>
      <c r="D31" s="47" t="n"/>
      <c r="E31" s="96" t="n"/>
      <c r="F31" s="16" t="inlineStr">
        <is>
          <t>DEVT No.</t>
        </is>
      </c>
      <c r="G31" s="309" t="inlineStr">
        <is>
          <t>Make / Model</t>
        </is>
      </c>
      <c r="H31" s="366" t="n"/>
      <c r="I31" s="366" t="n"/>
      <c r="J31" s="312" t="inlineStr">
        <is>
          <t>Calibration Due</t>
        </is>
      </c>
      <c r="K31" s="397" t="n"/>
      <c r="L31" s="397" t="n"/>
      <c r="M31" s="96" t="n"/>
      <c r="N31" s="438" t="inlineStr">
        <is>
          <t xml:space="preserve">Set Points are </t>
        </is>
      </c>
      <c r="O31" s="111" t="inlineStr">
        <is>
          <t>200 and 800 °C</t>
        </is>
      </c>
      <c r="P31" s="112" t="n"/>
      <c r="Q31" s="441" t="n"/>
      <c r="R31" s="42" t="n"/>
    </row>
    <row r="32" ht="15" customFormat="1" customHeight="1" s="2" thickBot="1">
      <c r="A32" s="60" t="n"/>
      <c r="B32" s="16" t="n"/>
      <c r="C32" s="47" t="n"/>
      <c r="D32" s="47" t="n"/>
      <c r="E32" s="96" t="inlineStr">
        <is>
          <t xml:space="preserve">Temperature Simulator Used. </t>
        </is>
      </c>
      <c r="F32" s="293" t="inlineStr">
        <is>
          <t>DEVT 891</t>
        </is>
      </c>
      <c r="G32" s="300" t="inlineStr">
        <is>
          <t>Additel Multifunction Process Calibrator</t>
        </is>
      </c>
      <c r="H32" s="380" t="n"/>
      <c r="I32" s="437" t="n"/>
      <c r="J32" s="439" t="n">
        <v>45303</v>
      </c>
      <c r="K32" s="380" t="n"/>
      <c r="L32" s="437" t="n"/>
      <c r="M32" s="96" t="n"/>
      <c r="N32" s="8" t="n"/>
      <c r="O32" s="16" t="n"/>
      <c r="P32" s="8" t="n"/>
      <c r="Q32" s="8" t="n"/>
      <c r="R32" s="42" t="n"/>
    </row>
    <row r="33" ht="15" customFormat="1" customHeight="1" s="2" thickBot="1">
      <c r="A33" s="114" t="n"/>
      <c r="B33" s="113" t="n"/>
      <c r="C33" s="113" t="n"/>
      <c r="D33" s="113" t="n"/>
      <c r="E33" s="113" t="n"/>
      <c r="F33" s="113" t="n"/>
      <c r="G33" s="113" t="n"/>
      <c r="H33" s="113" t="n"/>
      <c r="I33" s="113" t="n"/>
      <c r="J33" s="113" t="n"/>
      <c r="K33" s="113" t="n"/>
      <c r="L33" s="113" t="n"/>
      <c r="M33" s="113" t="n"/>
      <c r="N33" s="67" t="n"/>
      <c r="O33" s="67" t="n"/>
      <c r="P33" s="67" t="n"/>
      <c r="Q33" s="67" t="n"/>
      <c r="R33" s="51" t="n"/>
    </row>
    <row r="34" ht="15" customFormat="1" customHeight="1" s="2" thickTop="1">
      <c r="A34" s="52" t="n"/>
      <c r="B34" s="53" t="n"/>
      <c r="C34" s="53" t="n"/>
      <c r="D34" s="53" t="n"/>
      <c r="E34" s="53" t="n"/>
      <c r="F34" s="53" t="n"/>
      <c r="G34" s="53" t="n"/>
      <c r="H34" s="53" t="n"/>
      <c r="I34" s="53" t="n"/>
      <c r="J34" s="53" t="n"/>
      <c r="K34" s="53" t="n"/>
      <c r="L34" s="53" t="n"/>
      <c r="M34" s="93" t="n"/>
      <c r="N34" s="93" t="n"/>
      <c r="O34" s="93" t="n"/>
      <c r="P34" s="93" t="n"/>
      <c r="Q34" s="93" t="n"/>
      <c r="R34" s="94" t="n"/>
    </row>
    <row r="35" ht="25" customFormat="1" customHeight="1" s="2">
      <c r="A35" s="419" t="inlineStr">
        <is>
          <t>Test Bed High Temperature Measurement Calibration</t>
        </is>
      </c>
      <c r="B35" s="366" t="n"/>
      <c r="C35" s="366" t="n"/>
      <c r="D35" s="366" t="n"/>
      <c r="E35" s="366" t="n"/>
      <c r="F35" s="366" t="n"/>
      <c r="G35" s="366" t="n"/>
      <c r="H35" s="366" t="n"/>
      <c r="I35" s="366" t="n"/>
      <c r="J35" s="366" t="n"/>
      <c r="K35" s="366" t="n"/>
      <c r="L35" s="366" t="n"/>
      <c r="M35" s="366" t="n"/>
      <c r="N35" s="366" t="n"/>
      <c r="O35" s="366" t="n"/>
      <c r="P35" s="366" t="n"/>
      <c r="Q35" s="366" t="n"/>
      <c r="R35" s="376" t="n"/>
    </row>
    <row r="36" ht="15" customFormat="1" customHeight="1" s="2" thickBot="1">
      <c r="A36" s="122" t="n"/>
      <c r="B36" s="121" t="n"/>
      <c r="C36" s="119" t="n"/>
      <c r="D36" s="120" t="n"/>
      <c r="E36" s="120" t="n"/>
      <c r="F36" s="119" t="n"/>
      <c r="G36" s="119" t="n"/>
      <c r="H36" s="119" t="n"/>
      <c r="I36" s="119" t="n"/>
      <c r="J36" s="119" t="n"/>
      <c r="K36" s="119" t="n"/>
      <c r="L36" s="119" t="n"/>
      <c r="M36" s="118" t="n"/>
      <c r="N36" s="118" t="n"/>
      <c r="O36" s="118" t="n"/>
      <c r="P36" s="118" t="n"/>
      <c r="Q36" s="118" t="n"/>
      <c r="R36" s="117" t="n"/>
    </row>
    <row r="37" ht="15" customFormat="1" customHeight="1" s="2" thickBot="1">
      <c r="A37" s="41" t="n"/>
      <c r="B37" s="8" t="inlineStr">
        <is>
          <t xml:space="preserve">Job No. </t>
        </is>
      </c>
      <c r="C37" s="154">
        <f>Title!C4</f>
        <v/>
      </c>
      <c r="D37" s="6" t="n"/>
      <c r="E37" s="8" t="inlineStr">
        <is>
          <t xml:space="preserve">Calibrated By. </t>
        </is>
      </c>
      <c r="F37" s="154">
        <f>Title!C3</f>
        <v/>
      </c>
      <c r="G37" s="378" t="n"/>
      <c r="H37" s="6" t="n"/>
      <c r="I37" s="6" t="n"/>
      <c r="J37" s="8" t="inlineStr">
        <is>
          <t xml:space="preserve">Calibration Date. </t>
        </is>
      </c>
      <c r="K37" s="420">
        <f>Title!C9</f>
        <v/>
      </c>
      <c r="L37" s="380" t="n"/>
      <c r="M37" s="378" t="n"/>
      <c r="N37" s="7" t="n"/>
      <c r="O37" s="8" t="inlineStr">
        <is>
          <t>Bed No.</t>
        </is>
      </c>
      <c r="P37" s="421">
        <f>Title!F3</f>
        <v/>
      </c>
      <c r="Q37" s="378" t="n"/>
      <c r="R37" s="57" t="n"/>
    </row>
    <row r="38" ht="15" customFormat="1" customHeight="1" s="2">
      <c r="A38" s="41" t="n"/>
      <c r="B38" s="6" t="n"/>
      <c r="C38" s="6" t="n"/>
      <c r="D38" s="8" t="n"/>
      <c r="E38" s="8" t="n"/>
      <c r="F38" s="6" t="n"/>
      <c r="G38" s="8" t="n"/>
      <c r="H38" s="7" t="n"/>
      <c r="I38" s="7" t="n"/>
      <c r="J38" s="16" t="n"/>
      <c r="K38" s="7" t="n"/>
      <c r="L38" s="7" t="n"/>
      <c r="M38" s="7" t="n"/>
      <c r="N38" s="7" t="n"/>
      <c r="O38" s="7" t="n"/>
      <c r="P38" s="7" t="n"/>
      <c r="Q38" s="7" t="n"/>
      <c r="R38" s="42" t="n"/>
    </row>
    <row r="39" ht="15" customFormat="1" customHeight="1" s="2">
      <c r="A39" s="40" t="inlineStr">
        <is>
          <t>Acceptable Deviation: +/- 5°C, adjust if error &gt;4°C</t>
        </is>
      </c>
      <c r="B39" s="19" t="n"/>
      <c r="C39" s="19" t="n"/>
      <c r="D39" s="19" t="n"/>
      <c r="E39" s="19" t="n"/>
      <c r="F39" s="19" t="n"/>
      <c r="G39" s="19" t="n"/>
      <c r="H39" s="70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43" t="n"/>
    </row>
    <row r="40" ht="15" customFormat="1" customHeight="1" s="2" thickBot="1">
      <c r="A40" s="41" t="n"/>
      <c r="B40" s="297" t="n"/>
      <c r="C40" s="6" t="n"/>
      <c r="D40" s="6" t="n"/>
      <c r="E40" s="6" t="n"/>
      <c r="F40" s="6" t="n"/>
      <c r="G40" s="6" t="n"/>
      <c r="H40" s="6" t="n"/>
      <c r="I40" s="6" t="n"/>
      <c r="J40" s="6" t="n"/>
      <c r="K40" s="7" t="n"/>
      <c r="L40" s="7" t="n"/>
      <c r="M40" s="7" t="n"/>
      <c r="N40" s="7" t="n"/>
      <c r="O40" s="7" t="n"/>
      <c r="P40" s="7" t="n"/>
      <c r="Q40" s="7" t="n"/>
      <c r="R40" s="42" t="n"/>
    </row>
    <row r="41" ht="15" customFormat="1" customHeight="1" s="2">
      <c r="A41" s="44" t="n"/>
      <c r="B41" s="99" t="inlineStr">
        <is>
          <t>Chan.</t>
        </is>
      </c>
      <c r="C41" s="422" t="inlineStr">
        <is>
          <t>Channel Name</t>
        </is>
      </c>
      <c r="D41" s="423" t="inlineStr">
        <is>
          <t>Pre-Calibration Set Points °C.</t>
        </is>
      </c>
      <c r="E41" s="424" t="n"/>
      <c r="F41" s="424" t="n"/>
      <c r="G41" s="424" t="n"/>
      <c r="H41" s="425" t="n"/>
      <c r="I41" s="100" t="inlineStr">
        <is>
          <t>Pass/Fail</t>
        </is>
      </c>
      <c r="J41" s="6" t="n"/>
      <c r="K41" s="7" t="n"/>
      <c r="L41" s="423" t="inlineStr">
        <is>
          <t>Post-Calibration Set Points °C.</t>
        </is>
      </c>
      <c r="M41" s="424" t="n"/>
      <c r="N41" s="424" t="n"/>
      <c r="O41" s="424" t="n"/>
      <c r="P41" s="425" t="n"/>
      <c r="Q41" s="7" t="n"/>
      <c r="R41" s="42" t="n"/>
    </row>
    <row r="42" ht="15" customFormat="1" customHeight="1" s="2" thickBot="1">
      <c r="A42" s="44" t="n"/>
      <c r="B42" s="101" t="inlineStr">
        <is>
          <t>No.</t>
        </is>
      </c>
      <c r="C42" s="426" t="n"/>
      <c r="D42" s="427" t="n">
        <v>0</v>
      </c>
      <c r="E42" s="440" t="n">
        <v>250</v>
      </c>
      <c r="F42" s="428" t="n">
        <v>500</v>
      </c>
      <c r="G42" s="428" t="n">
        <v>750</v>
      </c>
      <c r="H42" s="428" t="n">
        <v>1000</v>
      </c>
      <c r="I42" s="123" t="inlineStr">
        <is>
          <t>(P/F)</t>
        </is>
      </c>
      <c r="J42" s="6" t="n"/>
      <c r="K42" s="7" t="n"/>
      <c r="L42" s="427" t="n">
        <v>0</v>
      </c>
      <c r="M42" s="428" t="n">
        <v>250</v>
      </c>
      <c r="N42" s="428" t="n">
        <v>500</v>
      </c>
      <c r="O42" s="428" t="n">
        <v>750</v>
      </c>
      <c r="P42" s="430" t="n">
        <v>1000</v>
      </c>
      <c r="Q42" s="7" t="n"/>
      <c r="R42" s="42" t="n"/>
    </row>
    <row r="43" ht="15" customFormat="1" customHeight="1" s="2">
      <c r="A43" s="44" t="n"/>
      <c r="B43" s="106" t="n">
        <v>21</v>
      </c>
      <c r="C43" s="218" t="inlineStr">
        <is>
          <t>TCK 21</t>
        </is>
      </c>
      <c r="D43" s="431" t="n">
        <v>0</v>
      </c>
      <c r="E43" s="432" t="n">
        <v>250.2</v>
      </c>
      <c r="F43" s="432" t="n">
        <v>500.1</v>
      </c>
      <c r="G43" s="432" t="n">
        <v>750</v>
      </c>
      <c r="H43" s="432" t="n">
        <v>1000</v>
      </c>
      <c r="I43" s="124" t="inlineStr">
        <is>
          <t>P</t>
        </is>
      </c>
      <c r="J43" s="6" t="n"/>
      <c r="K43" s="7" t="n"/>
      <c r="L43" s="431" t="n"/>
      <c r="M43" s="432" t="n"/>
      <c r="N43" s="432" t="n"/>
      <c r="O43" s="432" t="n"/>
      <c r="P43" s="436" t="n"/>
      <c r="Q43" s="7" t="n"/>
      <c r="R43" s="42" t="n"/>
    </row>
    <row r="44" ht="15" customFormat="1" customHeight="1" s="2">
      <c r="A44" s="44" t="n"/>
      <c r="B44" s="106" t="n">
        <v>22</v>
      </c>
      <c r="C44" s="218" t="inlineStr">
        <is>
          <t>TCK 22</t>
        </is>
      </c>
      <c r="D44" s="431" t="n">
        <v>-0.1</v>
      </c>
      <c r="E44" s="432" t="n">
        <v>249.7</v>
      </c>
      <c r="F44" s="432" t="n">
        <v>500.8</v>
      </c>
      <c r="G44" s="432" t="n">
        <v>750.4</v>
      </c>
      <c r="H44" s="432" t="n">
        <v>1000.3</v>
      </c>
      <c r="I44" s="124" t="inlineStr">
        <is>
          <t>P</t>
        </is>
      </c>
      <c r="J44" s="6" t="n"/>
      <c r="K44" s="7" t="n"/>
      <c r="L44" s="431" t="n"/>
      <c r="M44" s="432" t="n"/>
      <c r="N44" s="432" t="n"/>
      <c r="O44" s="432" t="n"/>
      <c r="P44" s="436" t="n"/>
      <c r="Q44" s="7" t="n"/>
      <c r="R44" s="42" t="n"/>
    </row>
    <row r="45" ht="13" customHeight="1">
      <c r="A45" s="44" t="n"/>
      <c r="B45" s="106" t="n">
        <v>23</v>
      </c>
      <c r="C45" s="218" t="inlineStr">
        <is>
          <t>TCK 23</t>
        </is>
      </c>
      <c r="D45" s="431" t="n">
        <v>1.4</v>
      </c>
      <c r="E45" s="432" t="n">
        <v>250.7</v>
      </c>
      <c r="F45" s="432" t="n">
        <v>499.1</v>
      </c>
      <c r="G45" s="432" t="n">
        <v>750.5</v>
      </c>
      <c r="H45" s="432" t="n">
        <v>1000.8</v>
      </c>
      <c r="I45" s="124" t="inlineStr">
        <is>
          <t>P</t>
        </is>
      </c>
      <c r="J45" s="6" t="n"/>
      <c r="K45" s="7" t="n"/>
      <c r="L45" s="431" t="n"/>
      <c r="M45" s="432" t="n"/>
      <c r="N45" s="432" t="n"/>
      <c r="O45" s="432" t="n"/>
      <c r="P45" s="436" t="n"/>
      <c r="Q45" s="7" t="n"/>
      <c r="R45" s="42" t="n"/>
    </row>
    <row r="46" ht="13" customHeight="1">
      <c r="A46" s="44" t="n"/>
      <c r="B46" s="106" t="n">
        <v>24</v>
      </c>
      <c r="C46" s="218" t="inlineStr">
        <is>
          <t>TCK 24</t>
        </is>
      </c>
      <c r="D46" s="431" t="n">
        <v>0.7</v>
      </c>
      <c r="E46" s="432" t="n">
        <v>248.9</v>
      </c>
      <c r="F46" s="432" t="n">
        <v>500.2</v>
      </c>
      <c r="G46" s="432" t="n">
        <v>751.7</v>
      </c>
      <c r="H46" s="432" t="n">
        <v>1000.2</v>
      </c>
      <c r="I46" s="124" t="inlineStr">
        <is>
          <t>P</t>
        </is>
      </c>
      <c r="J46" s="6" t="n"/>
      <c r="K46" s="7" t="n"/>
      <c r="L46" s="431" t="n"/>
      <c r="M46" s="432" t="n"/>
      <c r="N46" s="432" t="n"/>
      <c r="O46" s="432" t="n"/>
      <c r="P46" s="436" t="n"/>
      <c r="Q46" s="7" t="n"/>
      <c r="R46" s="42" t="n"/>
    </row>
    <row r="47" ht="13" customHeight="1">
      <c r="A47" s="44" t="n"/>
      <c r="B47" s="106" t="n">
        <v>25</v>
      </c>
      <c r="C47" s="218" t="inlineStr">
        <is>
          <t>TCK 25</t>
        </is>
      </c>
      <c r="D47" s="431" t="n">
        <v>0.4</v>
      </c>
      <c r="E47" s="432" t="n">
        <v>249.9</v>
      </c>
      <c r="F47" s="432" t="n">
        <v>499.8</v>
      </c>
      <c r="G47" s="432" t="n">
        <v>749.7</v>
      </c>
      <c r="H47" s="432" t="n">
        <v>1000.1</v>
      </c>
      <c r="I47" s="124" t="inlineStr">
        <is>
          <t>P</t>
        </is>
      </c>
      <c r="J47" s="6" t="n"/>
      <c r="K47" s="7" t="n"/>
      <c r="L47" s="431" t="n"/>
      <c r="M47" s="432" t="n"/>
      <c r="N47" s="432" t="n"/>
      <c r="O47" s="432" t="n"/>
      <c r="P47" s="436" t="n"/>
      <c r="Q47" s="7" t="n"/>
      <c r="R47" s="42" t="n"/>
    </row>
    <row r="48" ht="13" customHeight="1">
      <c r="A48" s="44" t="n"/>
      <c r="B48" s="106" t="n">
        <v>26</v>
      </c>
      <c r="C48" s="218" t="inlineStr">
        <is>
          <t>TCK 26</t>
        </is>
      </c>
      <c r="D48" s="431" t="n">
        <v>-0.1</v>
      </c>
      <c r="E48" s="432" t="n">
        <v>250</v>
      </c>
      <c r="F48" s="432" t="n">
        <v>500.5</v>
      </c>
      <c r="G48" s="432" t="n">
        <v>749.6</v>
      </c>
      <c r="H48" s="432" t="n">
        <v>1000.4</v>
      </c>
      <c r="I48" s="124" t="inlineStr">
        <is>
          <t>P</t>
        </is>
      </c>
      <c r="J48" s="6" t="n"/>
      <c r="K48" s="7" t="n"/>
      <c r="L48" s="431" t="n"/>
      <c r="M48" s="432" t="n"/>
      <c r="N48" s="432" t="n"/>
      <c r="O48" s="432" t="n"/>
      <c r="P48" s="436" t="n"/>
      <c r="Q48" s="7" t="n"/>
      <c r="R48" s="42" t="n"/>
    </row>
    <row r="49" ht="13" customHeight="1">
      <c r="A49" s="44" t="n"/>
      <c r="B49" s="106" t="n">
        <v>27</v>
      </c>
      <c r="C49" s="218" t="inlineStr">
        <is>
          <t>TCK 27</t>
        </is>
      </c>
      <c r="D49" s="431" t="n">
        <v>0.9</v>
      </c>
      <c r="E49" s="432" t="n">
        <v>249.2</v>
      </c>
      <c r="F49" s="432" t="n">
        <v>499.9</v>
      </c>
      <c r="G49" s="432" t="n">
        <v>749.7</v>
      </c>
      <c r="H49" s="432" t="n">
        <v>999.9</v>
      </c>
      <c r="I49" s="124" t="inlineStr">
        <is>
          <t>P</t>
        </is>
      </c>
      <c r="J49" s="6" t="n"/>
      <c r="K49" s="7" t="n"/>
      <c r="L49" s="431" t="n"/>
      <c r="M49" s="432" t="n"/>
      <c r="N49" s="432" t="n"/>
      <c r="O49" s="432" t="n"/>
      <c r="P49" s="436" t="n"/>
      <c r="Q49" s="7" t="n"/>
      <c r="R49" s="42" t="n"/>
    </row>
    <row r="50" ht="13" customHeight="1">
      <c r="A50" s="44" t="n"/>
      <c r="B50" s="106" t="n">
        <v>28</v>
      </c>
      <c r="C50" s="218" t="inlineStr">
        <is>
          <t>TCK 28</t>
        </is>
      </c>
      <c r="D50" s="431" t="n">
        <v>1</v>
      </c>
      <c r="E50" s="432" t="n">
        <v>251.3</v>
      </c>
      <c r="F50" s="432" t="n">
        <v>499.7</v>
      </c>
      <c r="G50" s="432" t="n">
        <v>749.7</v>
      </c>
      <c r="H50" s="432" t="n">
        <v>1000.5</v>
      </c>
      <c r="I50" s="124" t="inlineStr">
        <is>
          <t>P</t>
        </is>
      </c>
      <c r="J50" s="6" t="n"/>
      <c r="K50" s="7" t="n"/>
      <c r="L50" s="431" t="n"/>
      <c r="M50" s="432" t="n"/>
      <c r="N50" s="432" t="n"/>
      <c r="O50" s="432" t="n"/>
      <c r="P50" s="436" t="n"/>
      <c r="Q50" s="7" t="n"/>
      <c r="R50" s="42" t="n"/>
    </row>
    <row r="51" ht="13" customHeight="1">
      <c r="A51" s="44" t="n"/>
      <c r="B51" s="106" t="n">
        <v>29</v>
      </c>
      <c r="C51" s="218" t="inlineStr">
        <is>
          <t>TCK 29</t>
        </is>
      </c>
      <c r="D51" s="431" t="n">
        <v>-0.1</v>
      </c>
      <c r="E51" s="432" t="n">
        <v>249.7</v>
      </c>
      <c r="F51" s="432" t="n">
        <v>500.2</v>
      </c>
      <c r="G51" s="432" t="n">
        <v>750.3</v>
      </c>
      <c r="H51" s="432" t="n">
        <v>1000.5</v>
      </c>
      <c r="I51" s="124" t="inlineStr">
        <is>
          <t>P</t>
        </is>
      </c>
      <c r="J51" s="6" t="n"/>
      <c r="K51" s="7" t="n"/>
      <c r="L51" s="431" t="n"/>
      <c r="M51" s="432" t="n"/>
      <c r="N51" s="432" t="n"/>
      <c r="O51" s="432" t="n"/>
      <c r="P51" s="436" t="n"/>
      <c r="Q51" s="7" t="n"/>
      <c r="R51" s="42" t="n"/>
    </row>
    <row r="52" ht="13" customHeight="1">
      <c r="A52" s="44" t="n"/>
      <c r="B52" s="106" t="n">
        <v>30</v>
      </c>
      <c r="C52" s="218" t="inlineStr">
        <is>
          <t>TCK 30</t>
        </is>
      </c>
      <c r="D52" s="431" t="n">
        <v>0.9</v>
      </c>
      <c r="E52" s="432" t="n">
        <v>250</v>
      </c>
      <c r="F52" s="432" t="n">
        <v>499.7</v>
      </c>
      <c r="G52" s="432" t="n">
        <v>750.1</v>
      </c>
      <c r="H52" s="432" t="n">
        <v>1001</v>
      </c>
      <c r="I52" s="124" t="inlineStr">
        <is>
          <t>P</t>
        </is>
      </c>
      <c r="J52" s="6" t="n"/>
      <c r="K52" s="7" t="n"/>
      <c r="L52" s="431" t="n"/>
      <c r="M52" s="432" t="n"/>
      <c r="N52" s="432" t="n"/>
      <c r="O52" s="432" t="n"/>
      <c r="P52" s="436" t="n"/>
      <c r="Q52" s="7" t="n"/>
      <c r="R52" s="42" t="n"/>
    </row>
    <row r="53" ht="13" customHeight="1">
      <c r="A53" s="44" t="n"/>
      <c r="B53" s="106" t="n">
        <v>31</v>
      </c>
      <c r="C53" s="218" t="inlineStr">
        <is>
          <t>TCK 31</t>
        </is>
      </c>
      <c r="D53" s="431" t="n">
        <v>0.4</v>
      </c>
      <c r="E53" s="432" t="n">
        <v>250.3</v>
      </c>
      <c r="F53" s="432" t="n">
        <v>500.3</v>
      </c>
      <c r="G53" s="432" t="n">
        <v>751.5</v>
      </c>
      <c r="H53" s="432" t="n">
        <v>998</v>
      </c>
      <c r="I53" s="124" t="inlineStr">
        <is>
          <t>P</t>
        </is>
      </c>
      <c r="J53" s="6" t="n"/>
      <c r="K53" s="7" t="n"/>
      <c r="L53" s="431" t="n"/>
      <c r="M53" s="432" t="n"/>
      <c r="N53" s="432" t="n"/>
      <c r="O53" s="432" t="n"/>
      <c r="P53" s="436" t="n"/>
      <c r="Q53" s="7" t="n"/>
      <c r="R53" s="42" t="n"/>
    </row>
    <row r="54" ht="13" customHeight="1">
      <c r="A54" s="44" t="n"/>
      <c r="B54" s="106" t="n">
        <v>32</v>
      </c>
      <c r="C54" s="218" t="inlineStr">
        <is>
          <t>TCK 32</t>
        </is>
      </c>
      <c r="D54" s="431" t="n">
        <v>0.2</v>
      </c>
      <c r="E54" s="432" t="n">
        <v>250.8</v>
      </c>
      <c r="F54" s="432" t="n">
        <v>499.6</v>
      </c>
      <c r="G54" s="432" t="n">
        <v>751.1</v>
      </c>
      <c r="H54" s="432" t="n">
        <v>1000.2</v>
      </c>
      <c r="I54" s="124" t="inlineStr">
        <is>
          <t>P</t>
        </is>
      </c>
      <c r="J54" s="6" t="n"/>
      <c r="K54" s="7" t="n"/>
      <c r="L54" s="431" t="n"/>
      <c r="M54" s="432" t="n"/>
      <c r="N54" s="432" t="n"/>
      <c r="O54" s="432" t="n"/>
      <c r="P54" s="436" t="n"/>
      <c r="Q54" s="7" t="n"/>
      <c r="R54" s="42" t="n"/>
    </row>
    <row r="55" ht="13" customHeight="1">
      <c r="A55" s="44" t="n"/>
      <c r="B55" s="106" t="n">
        <v>33</v>
      </c>
      <c r="C55" s="218" t="inlineStr">
        <is>
          <t>TCK 33</t>
        </is>
      </c>
      <c r="D55" s="431" t="n">
        <v>3.3</v>
      </c>
      <c r="E55" s="432" t="n">
        <v>251.6</v>
      </c>
      <c r="F55" s="432" t="n">
        <v>501.7</v>
      </c>
      <c r="G55" s="432" t="n">
        <v>749.9</v>
      </c>
      <c r="H55" s="432" t="n">
        <v>999.7</v>
      </c>
      <c r="I55" s="124" t="inlineStr">
        <is>
          <t>P</t>
        </is>
      </c>
      <c r="J55" s="6" t="n"/>
      <c r="K55" s="7" t="n"/>
      <c r="L55" s="431" t="n"/>
      <c r="M55" s="432" t="n"/>
      <c r="N55" s="432" t="n"/>
      <c r="O55" s="432" t="n"/>
      <c r="P55" s="436" t="n"/>
      <c r="Q55" s="7" t="n"/>
      <c r="R55" s="42" t="n"/>
    </row>
    <row r="56" ht="13" customHeight="1">
      <c r="A56" s="44" t="n"/>
      <c r="B56" s="106" t="n">
        <v>34</v>
      </c>
      <c r="C56" s="218" t="inlineStr">
        <is>
          <t>TCK 34</t>
        </is>
      </c>
      <c r="D56" s="431" t="n">
        <v>1.8</v>
      </c>
      <c r="E56" s="432" t="n">
        <v>252</v>
      </c>
      <c r="F56" s="432" t="n">
        <v>501.5</v>
      </c>
      <c r="G56" s="432" t="n">
        <v>750.2</v>
      </c>
      <c r="H56" s="432" t="n">
        <v>1000.4</v>
      </c>
      <c r="I56" s="124" t="inlineStr">
        <is>
          <t>P</t>
        </is>
      </c>
      <c r="J56" s="6" t="n"/>
      <c r="K56" s="7" t="n"/>
      <c r="L56" s="431" t="n"/>
      <c r="M56" s="432" t="n"/>
      <c r="N56" s="432" t="n"/>
      <c r="O56" s="432" t="n"/>
      <c r="P56" s="436" t="n"/>
      <c r="Q56" s="7" t="n"/>
      <c r="R56" s="42" t="n"/>
    </row>
    <row r="57" ht="13.5" customHeight="1" thickBot="1">
      <c r="A57" s="44" t="n"/>
      <c r="B57" s="106" t="n">
        <v>35</v>
      </c>
      <c r="C57" s="218" t="inlineStr">
        <is>
          <t>TCK 35</t>
        </is>
      </c>
      <c r="D57" s="431" t="n">
        <v>2.1</v>
      </c>
      <c r="E57" s="432" t="n">
        <v>251.6</v>
      </c>
      <c r="F57" s="432" t="n">
        <v>502.1</v>
      </c>
      <c r="G57" s="432" t="n">
        <v>751.9</v>
      </c>
      <c r="H57" s="432" t="n">
        <v>999.8</v>
      </c>
      <c r="I57" s="124" t="inlineStr">
        <is>
          <t>P</t>
        </is>
      </c>
      <c r="J57" s="6" t="n"/>
      <c r="K57" s="7" t="n"/>
      <c r="L57" s="431" t="n"/>
      <c r="M57" s="432" t="n"/>
      <c r="N57" s="432" t="n"/>
      <c r="O57" s="432" t="n"/>
      <c r="P57" s="436" t="n"/>
      <c r="Q57" s="7" t="n"/>
      <c r="R57" s="42" t="n"/>
    </row>
    <row r="58" ht="13" customHeight="1" thickBot="1">
      <c r="A58" s="44" t="n"/>
      <c r="B58" s="47" t="n"/>
      <c r="C58" s="8" t="inlineStr">
        <is>
          <t xml:space="preserve">         Pre-Cals. Checked By.</t>
        </is>
      </c>
      <c r="D58" s="293" t="inlineStr">
        <is>
          <t>CD</t>
        </is>
      </c>
      <c r="E58" s="437" t="n"/>
      <c r="F58" s="47" t="n"/>
      <c r="G58" s="47" t="n"/>
      <c r="H58" s="47" t="n"/>
      <c r="I58" s="47" t="n"/>
      <c r="J58" s="47" t="n"/>
      <c r="K58" s="47" t="n"/>
      <c r="L58" s="47" t="n"/>
      <c r="M58" s="47" t="n"/>
      <c r="N58" s="47" t="n"/>
      <c r="O58" s="47" t="n"/>
      <c r="P58" s="47" t="n"/>
      <c r="Q58" s="47" t="n"/>
      <c r="R58" s="115" t="n"/>
    </row>
    <row r="59" ht="13" customHeight="1" thickBot="1">
      <c r="A59" s="60" t="n"/>
      <c r="B59" s="16" t="n"/>
      <c r="C59" s="47" t="n"/>
      <c r="D59" s="47" t="n"/>
      <c r="E59" s="96" t="n"/>
      <c r="F59" s="16" t="inlineStr">
        <is>
          <t>DEVT No.</t>
        </is>
      </c>
      <c r="G59" s="309" t="inlineStr">
        <is>
          <t>Make / Model</t>
        </is>
      </c>
      <c r="H59" s="366" t="n"/>
      <c r="I59" s="366" t="n"/>
      <c r="J59" s="312" t="inlineStr">
        <is>
          <t>Calibration Due</t>
        </is>
      </c>
      <c r="K59" s="397" t="n"/>
      <c r="L59" s="397" t="n"/>
      <c r="M59" s="96" t="n"/>
      <c r="N59" s="438" t="inlineStr">
        <is>
          <t xml:space="preserve">Set Points are </t>
        </is>
      </c>
      <c r="O59" s="111" t="inlineStr">
        <is>
          <t>200 and 800 °C</t>
        </is>
      </c>
      <c r="P59" s="112" t="n"/>
      <c r="Q59" s="441" t="n"/>
      <c r="R59" s="42" t="n"/>
    </row>
    <row r="60" ht="13" customHeight="1" thickBot="1">
      <c r="A60" s="60" t="n"/>
      <c r="B60" s="16" t="n"/>
      <c r="C60" s="47" t="n"/>
      <c r="D60" s="47" t="n"/>
      <c r="E60" s="96" t="inlineStr">
        <is>
          <t xml:space="preserve">Temperature Simulator Used. </t>
        </is>
      </c>
      <c r="F60" s="293" t="inlineStr">
        <is>
          <t>DEVT 891</t>
        </is>
      </c>
      <c r="G60" s="300" t="inlineStr">
        <is>
          <t>Additel Multifunction Process Calibrator</t>
        </is>
      </c>
      <c r="H60" s="380" t="n"/>
      <c r="I60" s="437" t="n"/>
      <c r="J60" s="439" t="n">
        <v>45303</v>
      </c>
      <c r="K60" s="380" t="n"/>
      <c r="L60" s="437" t="n"/>
      <c r="M60" s="96" t="n"/>
      <c r="N60" s="8" t="n"/>
      <c r="O60" s="16" t="n"/>
      <c r="P60" s="8" t="n"/>
      <c r="Q60" s="8" t="n"/>
      <c r="R60" s="42" t="n"/>
    </row>
    <row r="61" ht="13" customHeight="1" thickBot="1">
      <c r="A61" s="114" t="n"/>
      <c r="B61" s="113" t="n"/>
      <c r="C61" s="113" t="n"/>
      <c r="D61" s="113" t="n"/>
      <c r="E61" s="113" t="n"/>
      <c r="F61" s="113" t="n"/>
      <c r="G61" s="113" t="n"/>
      <c r="H61" s="113" t="n"/>
      <c r="I61" s="113" t="n"/>
      <c r="J61" s="113" t="n"/>
      <c r="K61" s="113" t="n"/>
      <c r="L61" s="113" t="n"/>
      <c r="M61" s="113" t="n"/>
      <c r="N61" s="67" t="n"/>
      <c r="O61" s="67" t="n"/>
      <c r="P61" s="67" t="n"/>
      <c r="Q61" s="67" t="n"/>
      <c r="R61" s="51" t="n"/>
    </row>
    <row r="62" ht="13" customHeight="1" thickTop="1">
      <c r="A62" s="311" t="n"/>
      <c r="B62" s="311" t="n"/>
      <c r="C62" s="311" t="n"/>
      <c r="D62" s="311" t="n"/>
      <c r="E62" s="311" t="n"/>
      <c r="F62" s="311" t="n"/>
      <c r="G62" s="311" t="n"/>
      <c r="H62" s="311" t="n"/>
      <c r="I62" s="311" t="n"/>
      <c r="J62" s="311" t="n"/>
      <c r="K62" s="311" t="n"/>
      <c r="L62" s="311" t="n"/>
      <c r="M62" s="311" t="n"/>
      <c r="N62" s="311" t="n"/>
      <c r="O62" s="311" t="n"/>
      <c r="P62" s="311" t="n"/>
      <c r="Q62" s="311" t="n"/>
      <c r="R62" s="311" t="n"/>
    </row>
  </sheetData>
  <mergeCells count="24">
    <mergeCell ref="P4:Q4"/>
    <mergeCell ref="F4:G4"/>
    <mergeCell ref="J32:L32"/>
    <mergeCell ref="A2:R2"/>
    <mergeCell ref="J31:L31"/>
    <mergeCell ref="C41:C42"/>
    <mergeCell ref="D41:H41"/>
    <mergeCell ref="L8:P8"/>
    <mergeCell ref="A35:R35"/>
    <mergeCell ref="G32:I32"/>
    <mergeCell ref="C8:C9"/>
    <mergeCell ref="G60:I60"/>
    <mergeCell ref="K4:M4"/>
    <mergeCell ref="K37:M37"/>
    <mergeCell ref="G31:I31"/>
    <mergeCell ref="D58:E58"/>
    <mergeCell ref="L41:P41"/>
    <mergeCell ref="P37:Q37"/>
    <mergeCell ref="G59:I59"/>
    <mergeCell ref="F37:G37"/>
    <mergeCell ref="D8:H8"/>
    <mergeCell ref="D30:E30"/>
    <mergeCell ref="J60:L60"/>
    <mergeCell ref="J59:L59"/>
  </mergeCells>
  <conditionalFormatting sqref="L10:O29">
    <cfRule type="cellIs" priority="11" operator="notBetween" dxfId="1" stopIfTrue="1">
      <formula>L$9-5</formula>
      <formula>L$9+5</formula>
    </cfRule>
    <cfRule type="cellIs" priority="12" operator="notBetween" dxfId="0" stopIfTrue="1">
      <formula>L$9-4</formula>
      <formula>L$9+4</formula>
    </cfRule>
  </conditionalFormatting>
  <conditionalFormatting sqref="P10:P29">
    <cfRule type="cellIs" priority="9" operator="notBetween" dxfId="1" stopIfTrue="1">
      <formula>P$9-5</formula>
      <formula>P$9+5</formula>
    </cfRule>
    <cfRule type="cellIs" priority="10" operator="notBetween" dxfId="0" stopIfTrue="1">
      <formula>P$9-4</formula>
      <formula>P$9+4</formula>
    </cfRule>
  </conditionalFormatting>
  <conditionalFormatting sqref="D10:H29">
    <cfRule type="cellIs" priority="15" operator="notBetween" dxfId="1" stopIfTrue="1">
      <formula>D$9-5</formula>
      <formula>D$9+5</formula>
    </cfRule>
    <cfRule type="cellIs" priority="16" operator="notBetween" dxfId="0" stopIfTrue="1">
      <formula>D$9-4</formula>
      <formula>D$9+4</formula>
    </cfRule>
  </conditionalFormatting>
  <conditionalFormatting sqref="I10:I29">
    <cfRule type="containsText" priority="13" operator="containsText" dxfId="81" stopIfTrue="1" text="P">
      <formula>NOT(ISERROR(SEARCH("P",I10)))</formula>
    </cfRule>
    <cfRule type="containsText" priority="14" operator="containsText" dxfId="80" stopIfTrue="1" text="F">
      <formula>NOT(ISERROR(SEARCH("F",I10)))</formula>
    </cfRule>
  </conditionalFormatting>
  <conditionalFormatting sqref="D43:H57">
    <cfRule type="cellIs" priority="7" operator="notBetween" dxfId="1" stopIfTrue="1">
      <formula>D$9-5</formula>
      <formula>D$9+5</formula>
    </cfRule>
    <cfRule type="cellIs" priority="8" operator="notBetween" dxfId="0" stopIfTrue="1">
      <formula>D$9-4</formula>
      <formula>D$9+4</formula>
    </cfRule>
  </conditionalFormatting>
  <conditionalFormatting sqref="I43:I57">
    <cfRule type="containsText" priority="5" operator="containsText" dxfId="81" stopIfTrue="1" text="P">
      <formula>NOT(ISERROR(SEARCH("P",I43)))</formula>
    </cfRule>
    <cfRule type="containsText" priority="6" operator="containsText" dxfId="80" stopIfTrue="1" text="F">
      <formula>NOT(ISERROR(SEARCH("F",I43)))</formula>
    </cfRule>
  </conditionalFormatting>
  <conditionalFormatting sqref="L43:O57">
    <cfRule type="cellIs" priority="3" operator="notBetween" dxfId="1" stopIfTrue="1">
      <formula>L$9-5</formula>
      <formula>L$9+5</formula>
    </cfRule>
    <cfRule type="cellIs" priority="4" operator="notBetween" dxfId="0" stopIfTrue="1">
      <formula>L$9-4</formula>
      <formula>L$9+4</formula>
    </cfRule>
  </conditionalFormatting>
  <conditionalFormatting sqref="P43:P57">
    <cfRule type="cellIs" priority="1" operator="notBetween" dxfId="1" stopIfTrue="1">
      <formula>P$9-5</formula>
      <formula>P$9+5</formula>
    </cfRule>
    <cfRule type="cellIs" priority="2" operator="notBetween" dxfId="0" stopIfTrue="1">
      <formula>P$9-4</formula>
      <formula>P$9+4</formula>
    </cfRule>
  </conditionalFormatting>
  <dataValidations count="1">
    <dataValidation sqref="P4 P37" showDropDown="0" showInputMessage="1" showErrorMessage="1" allowBlank="0" type="list">
      <formula1>"ST1 - TMA40522 (DEVT678),ST2 - TMA40523 (DEVT679),ST3 - TMA40524 (DEVT680),ST4 - TMA40525 (DEVT681),ST5 - TMA40526 (DEVT682),ST6 - TMA40532 (DEVT683),ST7 - TMA40533 (DEVT684),Cold Chamber - TMA56109 (DEVT709)"</formula1>
    </dataValidation>
  </dataValidations>
  <printOptions horizontalCentered="1" verticalCentered="1"/>
  <pageMargins left="0.3149606299212598" right="0.3149606299212598" top="0.3149606299212598" bottom="0.5118110236220472" header="0.3149606299212598" footer="0.3149606299212598"/>
  <pageSetup orientation="landscape" paperSize="9" scale="89" fitToHeight="0"/>
  <headerFooter alignWithMargins="0">
    <oddHeader/>
    <oddFooter>&amp;CTest Bed Calibration Results page &amp;P of &amp;N&amp;R&amp;"Calibri"&amp;11&amp;K000000&amp;"Calibri,Regular"&amp;11&amp;K000000&amp;F_x000d_&amp;1#&amp;"Calibri"&amp;10 &amp;K737373_x000a_&amp;D&amp;LCaterpillar: Confidential Green</oddFooter>
    <evenHeader/>
    <evenFooter/>
    <firstHeader/>
    <firstFooter/>
  </headerFooter>
  <rowBreaks count="1" manualBreakCount="1">
    <brk id="33" min="0" max="16383" man="1"/>
  </rowBreaks>
</worksheet>
</file>

<file path=xl/worksheets/sheet6.xml><?xml version="1.0" encoding="utf-8"?>
<worksheet xmlns="http://schemas.openxmlformats.org/spreadsheetml/2006/main">
  <sheetPr codeName="Sheet14">
    <tabColor rgb="FFE0E0E0"/>
    <outlinePr summaryBelow="1" summaryRight="1"/>
    <pageSetUpPr fitToPage="1"/>
  </sheetPr>
  <dimension ref="A1:R62"/>
  <sheetViews>
    <sheetView topLeftCell="A37" zoomScaleNormal="100" workbookViewId="0">
      <selection activeCell="L41" sqref="L41:P41"/>
    </sheetView>
  </sheetViews>
  <sheetFormatPr baseColWidth="8" defaultColWidth="9.1796875" defaultRowHeight="12.5"/>
  <cols>
    <col width="5.7265625" customWidth="1" style="1" min="1" max="2"/>
    <col width="18" customWidth="1" style="1" min="3" max="3"/>
    <col width="8.7265625" customWidth="1" style="1" min="4" max="9"/>
    <col width="5.7265625" customWidth="1" style="1" min="10" max="10"/>
    <col width="3.7265625" customWidth="1" style="1" min="11" max="11"/>
    <col width="8.7265625" customWidth="1" style="1" min="12" max="15"/>
    <col width="16.26953125" bestFit="1" customWidth="1" style="1" min="16" max="16"/>
    <col width="13.453125" customWidth="1" style="1" min="17" max="17"/>
    <col width="5.7265625" customWidth="1" style="1" min="18" max="18"/>
    <col width="9.1796875" customWidth="1" style="1" min="19" max="16384"/>
  </cols>
  <sheetData>
    <row r="1" ht="15" customFormat="1" customHeight="1" s="4" thickTop="1">
      <c r="A1" s="52" t="n"/>
      <c r="B1" s="53" t="n"/>
      <c r="C1" s="53" t="n"/>
      <c r="D1" s="53" t="n"/>
      <c r="E1" s="53" t="n"/>
      <c r="F1" s="53" t="n"/>
      <c r="G1" s="53" t="n"/>
      <c r="H1" s="53" t="n"/>
      <c r="I1" s="53" t="n"/>
      <c r="J1" s="53" t="n"/>
      <c r="K1" s="53" t="n"/>
      <c r="L1" s="53" t="n"/>
      <c r="M1" s="93" t="n"/>
      <c r="N1" s="93" t="n"/>
      <c r="O1" s="93" t="n"/>
      <c r="P1" s="93" t="n"/>
      <c r="Q1" s="93" t="n"/>
      <c r="R1" s="94" t="n"/>
    </row>
    <row r="2" ht="25" customFormat="1" customHeight="1" s="4">
      <c r="A2" s="419" t="inlineStr">
        <is>
          <t>Test Bed High Temperature Measurement Calibration</t>
        </is>
      </c>
      <c r="B2" s="366" t="n"/>
      <c r="C2" s="366" t="n"/>
      <c r="D2" s="366" t="n"/>
      <c r="E2" s="366" t="n"/>
      <c r="F2" s="366" t="n"/>
      <c r="G2" s="366" t="n"/>
      <c r="H2" s="366" t="n"/>
      <c r="I2" s="366" t="n"/>
      <c r="J2" s="366" t="n"/>
      <c r="K2" s="366" t="n"/>
      <c r="L2" s="366" t="n"/>
      <c r="M2" s="366" t="n"/>
      <c r="N2" s="366" t="n"/>
      <c r="O2" s="366" t="n"/>
      <c r="P2" s="366" t="n"/>
      <c r="Q2" s="366" t="n"/>
      <c r="R2" s="376" t="n"/>
    </row>
    <row r="3" ht="20.5" customFormat="1" customHeight="1" s="2" thickBot="1">
      <c r="A3" s="122" t="n"/>
      <c r="B3" s="121" t="n"/>
      <c r="C3" s="119" t="n"/>
      <c r="D3" s="120" t="n"/>
      <c r="E3" s="120" t="n"/>
      <c r="F3" s="119" t="n"/>
      <c r="G3" s="119" t="n"/>
      <c r="H3" s="119" t="n"/>
      <c r="I3" s="119" t="n"/>
      <c r="J3" s="119" t="n"/>
      <c r="K3" s="119" t="n"/>
      <c r="L3" s="119" t="n"/>
      <c r="M3" s="118" t="n"/>
      <c r="N3" s="118" t="n"/>
      <c r="O3" s="118" t="n"/>
      <c r="P3" s="118" t="n"/>
      <c r="Q3" s="118" t="n"/>
      <c r="R3" s="117" t="n"/>
    </row>
    <row r="4" ht="16" customFormat="1" customHeight="1" s="2" thickBot="1">
      <c r="A4" s="41" t="n"/>
      <c r="B4" s="8" t="inlineStr">
        <is>
          <t xml:space="preserve">Job No. </t>
        </is>
      </c>
      <c r="C4" s="154">
        <f>Title!C4</f>
        <v/>
      </c>
      <c r="D4" s="6" t="n"/>
      <c r="E4" s="8" t="inlineStr">
        <is>
          <t xml:space="preserve">Calibrated By. </t>
        </is>
      </c>
      <c r="F4" s="14">
        <f>Title!C3</f>
        <v/>
      </c>
      <c r="G4" s="378" t="n"/>
      <c r="H4" s="6" t="n"/>
      <c r="I4" s="6" t="n"/>
      <c r="J4" s="8" t="inlineStr">
        <is>
          <t xml:space="preserve">Calibration Date. </t>
        </is>
      </c>
      <c r="K4" s="420">
        <f>Title!C9</f>
        <v/>
      </c>
      <c r="L4" s="380" t="n"/>
      <c r="M4" s="378" t="n"/>
      <c r="N4" s="7" t="n"/>
      <c r="O4" s="8" t="inlineStr">
        <is>
          <t>Bed No.</t>
        </is>
      </c>
      <c r="P4" s="421">
        <f>Title!F3</f>
        <v/>
      </c>
      <c r="Q4" s="378" t="n"/>
      <c r="R4" s="57" t="n"/>
    </row>
    <row r="5" ht="15" customFormat="1" customHeight="1" s="2">
      <c r="A5" s="41" t="n"/>
      <c r="B5" s="6" t="n"/>
      <c r="C5" s="6" t="n"/>
      <c r="D5" s="8" t="n"/>
      <c r="E5" s="8" t="n"/>
      <c r="F5" s="6" t="n"/>
      <c r="G5" s="8" t="n"/>
      <c r="H5" s="7" t="n"/>
      <c r="I5" s="7" t="n"/>
      <c r="J5" s="16" t="n"/>
      <c r="K5" s="7" t="n"/>
      <c r="L5" s="7" t="n"/>
      <c r="M5" s="7" t="n"/>
      <c r="N5" s="7" t="n"/>
      <c r="O5" s="7" t="n"/>
      <c r="P5" s="7" t="n"/>
      <c r="Q5" s="7" t="n"/>
      <c r="R5" s="42" t="n"/>
    </row>
    <row r="6" ht="15" customFormat="1" customHeight="1" s="3">
      <c r="A6" s="40" t="inlineStr">
        <is>
          <t>Acceptable Deviation: +/- 5°C, adjust if error &gt;4°C</t>
        </is>
      </c>
      <c r="B6" s="19" t="n"/>
      <c r="C6" s="19" t="n"/>
      <c r="D6" s="19" t="n"/>
      <c r="E6" s="19" t="n"/>
      <c r="F6" s="19" t="n"/>
      <c r="G6" s="19" t="n"/>
      <c r="H6" s="70" t="n"/>
      <c r="I6" s="19" t="n"/>
      <c r="J6" s="19" t="n"/>
      <c r="K6" s="19" t="n"/>
      <c r="L6" s="19" t="n"/>
      <c r="M6" s="19" t="n"/>
      <c r="N6" s="19" t="n"/>
      <c r="O6" s="19" t="n"/>
      <c r="P6" s="19" t="n"/>
      <c r="Q6" s="19" t="n"/>
      <c r="R6" s="43" t="n"/>
    </row>
    <row r="7" ht="15" customFormat="1" customHeight="1" s="2" thickBot="1">
      <c r="A7" s="41" t="n"/>
      <c r="B7" s="297" t="n"/>
      <c r="C7" s="6" t="n"/>
      <c r="D7" s="6" t="n"/>
      <c r="E7" s="6" t="n"/>
      <c r="F7" s="6" t="n"/>
      <c r="G7" s="6" t="n"/>
      <c r="H7" s="6" t="n"/>
      <c r="I7" s="6" t="n"/>
      <c r="J7" s="6" t="n"/>
      <c r="K7" s="7" t="n"/>
      <c r="L7" s="7" t="n"/>
      <c r="M7" s="7" t="n"/>
      <c r="N7" s="7" t="n"/>
      <c r="O7" s="7" t="n"/>
      <c r="P7" s="7" t="n"/>
      <c r="Q7" s="7" t="n"/>
      <c r="R7" s="42" t="n"/>
    </row>
    <row r="8" ht="15" customFormat="1" customHeight="1" s="2">
      <c r="A8" s="44" t="n"/>
      <c r="B8" s="99" t="inlineStr">
        <is>
          <t>Chan.</t>
        </is>
      </c>
      <c r="C8" s="422" t="inlineStr">
        <is>
          <t>Channel Name</t>
        </is>
      </c>
      <c r="D8" s="423" t="inlineStr">
        <is>
          <t>Pre-Calibration Set Points °C.</t>
        </is>
      </c>
      <c r="E8" s="424" t="n"/>
      <c r="F8" s="424" t="n"/>
      <c r="G8" s="424" t="n"/>
      <c r="H8" s="425" t="n"/>
      <c r="I8" s="100" t="inlineStr">
        <is>
          <t>Pass/Fail</t>
        </is>
      </c>
      <c r="J8" s="6" t="n"/>
      <c r="K8" s="7" t="n"/>
      <c r="L8" s="423" t="inlineStr">
        <is>
          <t>Post-Calibration Set Points °C.</t>
        </is>
      </c>
      <c r="M8" s="424" t="n"/>
      <c r="N8" s="424" t="n"/>
      <c r="O8" s="424" t="n"/>
      <c r="P8" s="425" t="n"/>
      <c r="Q8" s="7" t="n"/>
      <c r="R8" s="42" t="n"/>
    </row>
    <row r="9" ht="15" customFormat="1" customHeight="1" s="2" thickBot="1">
      <c r="A9" s="44" t="n"/>
      <c r="B9" s="101" t="inlineStr">
        <is>
          <t>No.</t>
        </is>
      </c>
      <c r="C9" s="426" t="n"/>
      <c r="D9" s="427" t="n">
        <v>0</v>
      </c>
      <c r="E9" s="440" t="n">
        <v>250</v>
      </c>
      <c r="F9" s="428" t="n">
        <v>500</v>
      </c>
      <c r="G9" s="428" t="n">
        <v>750</v>
      </c>
      <c r="H9" s="428" t="n">
        <v>1000</v>
      </c>
      <c r="I9" s="123" t="inlineStr">
        <is>
          <t>(P/F)</t>
        </is>
      </c>
      <c r="J9" s="6" t="n"/>
      <c r="K9" s="7" t="n"/>
      <c r="L9" s="427" t="n">
        <v>0</v>
      </c>
      <c r="M9" s="428" t="n">
        <v>250</v>
      </c>
      <c r="N9" s="428" t="n">
        <v>500</v>
      </c>
      <c r="O9" s="428" t="n">
        <v>750</v>
      </c>
      <c r="P9" s="430" t="n">
        <v>1000</v>
      </c>
      <c r="Q9" s="7" t="n"/>
      <c r="R9" s="42" t="n"/>
    </row>
    <row r="10" ht="15" customFormat="1" customHeight="1" s="2">
      <c r="A10" s="44" t="n"/>
      <c r="B10" s="106" t="n">
        <v>49</v>
      </c>
      <c r="C10" s="218" t="inlineStr">
        <is>
          <t>TCK 49</t>
        </is>
      </c>
      <c r="D10" s="431" t="n">
        <v>0</v>
      </c>
      <c r="E10" s="432" t="n">
        <v>250.1</v>
      </c>
      <c r="F10" s="432" t="n">
        <v>500.7</v>
      </c>
      <c r="G10" s="432" t="n">
        <v>750.8</v>
      </c>
      <c r="H10" s="432" t="n">
        <v>1000.1</v>
      </c>
      <c r="I10" s="124" t="inlineStr">
        <is>
          <t>P</t>
        </is>
      </c>
      <c r="J10" s="6" t="n"/>
      <c r="K10" s="7" t="n"/>
      <c r="L10" s="431" t="n"/>
      <c r="M10" s="432" t="n"/>
      <c r="N10" s="432" t="n"/>
      <c r="O10" s="432" t="n"/>
      <c r="P10" s="436" t="n"/>
      <c r="Q10" s="7" t="n"/>
      <c r="R10" s="42" t="n"/>
    </row>
    <row r="11" ht="15" customFormat="1" customHeight="1" s="2">
      <c r="A11" s="44" t="n"/>
      <c r="B11" s="106" t="n">
        <v>50</v>
      </c>
      <c r="C11" s="218" t="inlineStr">
        <is>
          <t>TCK 50</t>
        </is>
      </c>
      <c r="D11" s="431" t="n">
        <v>-1.6</v>
      </c>
      <c r="E11" s="432" t="n">
        <v>248.7</v>
      </c>
      <c r="F11" s="432" t="n">
        <v>498.9</v>
      </c>
      <c r="G11" s="432" t="n">
        <v>748.6</v>
      </c>
      <c r="H11" s="432" t="n">
        <v>1000</v>
      </c>
      <c r="I11" s="124" t="inlineStr">
        <is>
          <t>P</t>
        </is>
      </c>
      <c r="J11" s="6" t="n"/>
      <c r="K11" s="7" t="n"/>
      <c r="L11" s="431" t="n"/>
      <c r="M11" s="432" t="n"/>
      <c r="N11" s="432" t="n"/>
      <c r="O11" s="432" t="n"/>
      <c r="P11" s="436" t="n"/>
      <c r="Q11" s="7" t="n"/>
      <c r="R11" s="42" t="n"/>
    </row>
    <row r="12" ht="15" customFormat="1" customHeight="1" s="2">
      <c r="A12" s="44" t="n"/>
      <c r="B12" s="106" t="n">
        <v>51</v>
      </c>
      <c r="C12" s="218" t="inlineStr">
        <is>
          <t>TCK 51</t>
        </is>
      </c>
      <c r="D12" s="431" t="n">
        <v>-0.8</v>
      </c>
      <c r="E12" s="432" t="n">
        <v>249.5</v>
      </c>
      <c r="F12" s="432" t="n">
        <v>500.1</v>
      </c>
      <c r="G12" s="432" t="n">
        <v>749.9</v>
      </c>
      <c r="H12" s="432" t="n">
        <v>1000.4</v>
      </c>
      <c r="I12" s="124" t="inlineStr">
        <is>
          <t>P</t>
        </is>
      </c>
      <c r="J12" s="6" t="n"/>
      <c r="K12" s="7" t="n"/>
      <c r="L12" s="431" t="n"/>
      <c r="M12" s="432" t="n"/>
      <c r="N12" s="432" t="n"/>
      <c r="O12" s="432" t="n"/>
      <c r="P12" s="436" t="n"/>
      <c r="Q12" s="7" t="n"/>
      <c r="R12" s="42" t="n"/>
    </row>
    <row r="13" ht="15" customFormat="1" customHeight="1" s="2">
      <c r="A13" s="44" t="n"/>
      <c r="B13" s="106" t="n">
        <v>52</v>
      </c>
      <c r="C13" s="218" t="inlineStr">
        <is>
          <t>TCK 52</t>
        </is>
      </c>
      <c r="D13" s="431" t="n">
        <v>0.4</v>
      </c>
      <c r="E13" s="432" t="n">
        <v>249.8</v>
      </c>
      <c r="F13" s="432" t="n">
        <v>500.6</v>
      </c>
      <c r="G13" s="432" t="n">
        <v>750.4</v>
      </c>
      <c r="H13" s="432" t="n">
        <v>1001.3</v>
      </c>
      <c r="I13" s="124" t="inlineStr">
        <is>
          <t>P</t>
        </is>
      </c>
      <c r="J13" s="6" t="n"/>
      <c r="K13" s="7" t="n"/>
      <c r="L13" s="431" t="n"/>
      <c r="M13" s="432" t="n"/>
      <c r="N13" s="432" t="n"/>
      <c r="O13" s="432" t="n"/>
      <c r="P13" s="436" t="n"/>
      <c r="Q13" s="7" t="n"/>
      <c r="R13" s="42" t="n"/>
    </row>
    <row r="14" ht="15" customFormat="1" customHeight="1" s="2">
      <c r="A14" s="44" t="n"/>
      <c r="B14" s="106" t="n">
        <v>53</v>
      </c>
      <c r="C14" s="218" t="inlineStr">
        <is>
          <t>TCK 53</t>
        </is>
      </c>
      <c r="D14" s="431" t="n">
        <v>-0.1</v>
      </c>
      <c r="E14" s="432" t="n">
        <v>251.2</v>
      </c>
      <c r="F14" s="432" t="n">
        <v>499.9</v>
      </c>
      <c r="G14" s="432" t="n">
        <v>750.3</v>
      </c>
      <c r="H14" s="432" t="n">
        <v>999.3</v>
      </c>
      <c r="I14" s="124" t="inlineStr">
        <is>
          <t>P</t>
        </is>
      </c>
      <c r="J14" s="6" t="n"/>
      <c r="K14" s="7" t="n"/>
      <c r="L14" s="431" t="n"/>
      <c r="M14" s="432" t="n"/>
      <c r="N14" s="432" t="n"/>
      <c r="O14" s="432" t="n"/>
      <c r="P14" s="436" t="n"/>
      <c r="Q14" s="7" t="n"/>
      <c r="R14" s="42" t="n"/>
    </row>
    <row r="15" ht="15" customFormat="1" customHeight="1" s="2">
      <c r="A15" s="44" t="n"/>
      <c r="B15" s="106" t="n">
        <v>54</v>
      </c>
      <c r="C15" s="218" t="inlineStr">
        <is>
          <t>TCK 54</t>
        </is>
      </c>
      <c r="D15" s="431" t="n">
        <v>-0.2</v>
      </c>
      <c r="E15" s="432" t="n">
        <v>249.4</v>
      </c>
      <c r="F15" s="432" t="n">
        <v>499.4</v>
      </c>
      <c r="G15" s="432" t="n">
        <v>748.8</v>
      </c>
      <c r="H15" s="432" t="n">
        <v>1000</v>
      </c>
      <c r="I15" s="124" t="inlineStr">
        <is>
          <t>P</t>
        </is>
      </c>
      <c r="J15" s="6" t="n"/>
      <c r="K15" s="7" t="n"/>
      <c r="L15" s="431" t="n"/>
      <c r="M15" s="432" t="n"/>
      <c r="N15" s="432" t="n"/>
      <c r="O15" s="432" t="n"/>
      <c r="P15" s="436" t="n"/>
      <c r="Q15" s="7" t="n"/>
      <c r="R15" s="42" t="n"/>
    </row>
    <row r="16" ht="15" customFormat="1" customHeight="1" s="2">
      <c r="A16" s="44" t="n"/>
      <c r="B16" s="106" t="n">
        <v>55</v>
      </c>
      <c r="C16" s="218" t="inlineStr">
        <is>
          <t>TCK 55</t>
        </is>
      </c>
      <c r="D16" s="431" t="n">
        <v>0</v>
      </c>
      <c r="E16" s="432" t="n">
        <v>248.7</v>
      </c>
      <c r="F16" s="432" t="n">
        <v>501.6</v>
      </c>
      <c r="G16" s="432" t="n">
        <v>749.7</v>
      </c>
      <c r="H16" s="432" t="n">
        <v>1001.3</v>
      </c>
      <c r="I16" s="124" t="inlineStr">
        <is>
          <t>P</t>
        </is>
      </c>
      <c r="J16" s="6" t="n"/>
      <c r="K16" s="7" t="n"/>
      <c r="L16" s="431" t="n"/>
      <c r="M16" s="432" t="n"/>
      <c r="N16" s="432" t="n"/>
      <c r="O16" s="432" t="n"/>
      <c r="P16" s="436" t="n"/>
      <c r="Q16" s="7" t="n"/>
      <c r="R16" s="42" t="n"/>
    </row>
    <row r="17" ht="15" customFormat="1" customHeight="1" s="2">
      <c r="A17" s="44" t="n"/>
      <c r="B17" s="106" t="n">
        <v>56</v>
      </c>
      <c r="C17" s="218" t="inlineStr">
        <is>
          <t>TCK 56</t>
        </is>
      </c>
      <c r="D17" s="431" t="n">
        <v>-0.3</v>
      </c>
      <c r="E17" s="432" t="n">
        <v>249.3</v>
      </c>
      <c r="F17" s="432" t="n">
        <v>500</v>
      </c>
      <c r="G17" s="432" t="n">
        <v>749.6</v>
      </c>
      <c r="H17" s="432" t="n">
        <v>999.2</v>
      </c>
      <c r="I17" s="124" t="inlineStr">
        <is>
          <t>P</t>
        </is>
      </c>
      <c r="J17" s="6" t="n"/>
      <c r="K17" s="7" t="n"/>
      <c r="L17" s="431" t="n"/>
      <c r="M17" s="432" t="n"/>
      <c r="N17" s="432" t="n"/>
      <c r="O17" s="432" t="n"/>
      <c r="P17" s="436" t="n"/>
      <c r="Q17" s="7" t="n"/>
      <c r="R17" s="42" t="n"/>
    </row>
    <row r="18" ht="15" customFormat="1" customHeight="1" s="2">
      <c r="A18" s="44" t="n"/>
      <c r="B18" s="106" t="n">
        <v>57</v>
      </c>
      <c r="C18" s="218" t="inlineStr">
        <is>
          <t>TCK 57</t>
        </is>
      </c>
      <c r="D18" s="431" t="n">
        <v>-0.1</v>
      </c>
      <c r="E18" s="432" t="n">
        <v>249</v>
      </c>
      <c r="F18" s="432" t="n">
        <v>499.6</v>
      </c>
      <c r="G18" s="432" t="n">
        <v>749.2</v>
      </c>
      <c r="H18" s="432" t="n">
        <v>998.8</v>
      </c>
      <c r="I18" s="124" t="inlineStr">
        <is>
          <t>P</t>
        </is>
      </c>
      <c r="J18" s="6" t="n"/>
      <c r="K18" s="7" t="n"/>
      <c r="L18" s="431" t="n"/>
      <c r="M18" s="432" t="n"/>
      <c r="N18" s="432" t="n"/>
      <c r="O18" s="432" t="n"/>
      <c r="P18" s="436" t="n"/>
      <c r="Q18" s="7" t="n"/>
      <c r="R18" s="42" t="n"/>
    </row>
    <row r="19" ht="15" customFormat="1" customHeight="1" s="2">
      <c r="A19" s="44" t="n"/>
      <c r="B19" s="106" t="n">
        <v>58</v>
      </c>
      <c r="C19" s="218" t="inlineStr">
        <is>
          <t>TCK 58</t>
        </is>
      </c>
      <c r="D19" s="431" t="n">
        <v>0</v>
      </c>
      <c r="E19" s="432" t="n">
        <v>250.3</v>
      </c>
      <c r="F19" s="432" t="n">
        <v>499.4</v>
      </c>
      <c r="G19" s="432" t="n">
        <v>750.2</v>
      </c>
      <c r="H19" s="432" t="n">
        <v>1000.2</v>
      </c>
      <c r="I19" s="124" t="inlineStr">
        <is>
          <t>P</t>
        </is>
      </c>
      <c r="J19" s="6" t="n"/>
      <c r="K19" s="7" t="n"/>
      <c r="L19" s="431" t="n"/>
      <c r="M19" s="432" t="n"/>
      <c r="N19" s="432" t="n"/>
      <c r="O19" s="432" t="n"/>
      <c r="P19" s="436" t="n"/>
      <c r="Q19" s="7" t="n"/>
      <c r="R19" s="42" t="n"/>
    </row>
    <row r="20" ht="15" customFormat="1" customHeight="1" s="2">
      <c r="A20" s="44" t="n"/>
      <c r="B20" s="106" t="n">
        <v>59</v>
      </c>
      <c r="C20" s="218" t="inlineStr">
        <is>
          <t>TCK 59</t>
        </is>
      </c>
      <c r="D20" s="431" t="n">
        <v>0</v>
      </c>
      <c r="E20" s="432" t="n">
        <v>249.6</v>
      </c>
      <c r="F20" s="432" t="n">
        <v>500.2</v>
      </c>
      <c r="G20" s="432" t="n">
        <v>750.2</v>
      </c>
      <c r="H20" s="432" t="n">
        <v>1000.4</v>
      </c>
      <c r="I20" s="124" t="inlineStr">
        <is>
          <t>P</t>
        </is>
      </c>
      <c r="J20" s="6" t="n"/>
      <c r="K20" s="7" t="n"/>
      <c r="L20" s="431" t="n"/>
      <c r="M20" s="432" t="n"/>
      <c r="N20" s="432" t="n"/>
      <c r="O20" s="432" t="n"/>
      <c r="P20" s="436" t="n"/>
      <c r="Q20" s="7" t="n"/>
      <c r="R20" s="42" t="n"/>
    </row>
    <row r="21" ht="15" customFormat="1" customHeight="1" s="2">
      <c r="A21" s="44" t="n"/>
      <c r="B21" s="106" t="n">
        <v>60</v>
      </c>
      <c r="C21" s="218" t="inlineStr">
        <is>
          <t>TCK 60</t>
        </is>
      </c>
      <c r="D21" s="431" t="n">
        <v>0.7</v>
      </c>
      <c r="E21" s="432" t="n">
        <v>250.4</v>
      </c>
      <c r="F21" s="432" t="n">
        <v>498.7</v>
      </c>
      <c r="G21" s="432" t="n">
        <v>750.5</v>
      </c>
      <c r="H21" s="432" t="n">
        <v>1001.4</v>
      </c>
      <c r="I21" s="124" t="inlineStr">
        <is>
          <t>P</t>
        </is>
      </c>
      <c r="J21" s="6" t="n"/>
      <c r="K21" s="7" t="n"/>
      <c r="L21" s="431" t="n"/>
      <c r="M21" s="432" t="n"/>
      <c r="N21" s="432" t="n"/>
      <c r="O21" s="432" t="n"/>
      <c r="P21" s="436" t="n"/>
      <c r="Q21" s="7" t="n"/>
      <c r="R21" s="42" t="n"/>
    </row>
    <row r="22" ht="15" customFormat="1" customHeight="1" s="2">
      <c r="A22" s="44" t="n"/>
      <c r="B22" s="106" t="n">
        <v>61</v>
      </c>
      <c r="C22" s="218" t="inlineStr">
        <is>
          <t>TCK 61</t>
        </is>
      </c>
      <c r="D22" s="431" t="n">
        <v>0.2</v>
      </c>
      <c r="E22" s="432" t="n">
        <v>250.6</v>
      </c>
      <c r="F22" s="432" t="n">
        <v>501.1</v>
      </c>
      <c r="G22" s="432" t="n">
        <v>751</v>
      </c>
      <c r="H22" s="432" t="n">
        <v>999.6</v>
      </c>
      <c r="I22" s="124" t="inlineStr">
        <is>
          <t>P</t>
        </is>
      </c>
      <c r="J22" s="6" t="n"/>
      <c r="K22" s="7" t="n"/>
      <c r="L22" s="431" t="n"/>
      <c r="M22" s="432" t="n"/>
      <c r="N22" s="432" t="n"/>
      <c r="O22" s="432" t="n"/>
      <c r="P22" s="436" t="n"/>
      <c r="Q22" s="7" t="n"/>
      <c r="R22" s="42" t="n"/>
    </row>
    <row r="23" ht="15" customFormat="1" customHeight="1" s="2">
      <c r="A23" s="44" t="n"/>
      <c r="B23" s="106" t="n">
        <v>62</v>
      </c>
      <c r="C23" s="218" t="inlineStr">
        <is>
          <t>TCK 62</t>
        </is>
      </c>
      <c r="D23" s="431" t="n">
        <v>-1.1</v>
      </c>
      <c r="E23" s="432" t="n">
        <v>250.1</v>
      </c>
      <c r="F23" s="432" t="n">
        <v>499.6</v>
      </c>
      <c r="G23" s="432" t="n">
        <v>750.4</v>
      </c>
      <c r="H23" s="432" t="n">
        <v>1000.9</v>
      </c>
      <c r="I23" s="124" t="inlineStr">
        <is>
          <t>P</t>
        </is>
      </c>
      <c r="J23" s="6" t="n"/>
      <c r="K23" s="7" t="n"/>
      <c r="L23" s="431" t="n"/>
      <c r="M23" s="432" t="n"/>
      <c r="N23" s="432" t="n"/>
      <c r="O23" s="432" t="n"/>
      <c r="P23" s="436" t="n"/>
      <c r="Q23" s="7" t="n"/>
      <c r="R23" s="42" t="n"/>
    </row>
    <row r="24" ht="15" customFormat="1" customHeight="1" s="2">
      <c r="A24" s="44" t="n"/>
      <c r="B24" s="106" t="n">
        <v>63</v>
      </c>
      <c r="C24" s="218" t="inlineStr">
        <is>
          <t>TCK 63</t>
        </is>
      </c>
      <c r="D24" s="431" t="n">
        <v>0</v>
      </c>
      <c r="E24" s="432" t="n">
        <v>249.5</v>
      </c>
      <c r="F24" s="432" t="n">
        <v>503.1</v>
      </c>
      <c r="G24" s="432" t="n">
        <v>749.8</v>
      </c>
      <c r="H24" s="432" t="n">
        <v>1000.2</v>
      </c>
      <c r="I24" s="124" t="inlineStr">
        <is>
          <t>P</t>
        </is>
      </c>
      <c r="J24" s="6" t="n"/>
      <c r="K24" s="7" t="n"/>
      <c r="L24" s="431" t="n"/>
      <c r="M24" s="432" t="n"/>
      <c r="N24" s="432" t="n"/>
      <c r="O24" s="432" t="n"/>
      <c r="P24" s="436" t="n"/>
      <c r="Q24" s="7" t="n"/>
      <c r="R24" s="42" t="n"/>
    </row>
    <row r="25" ht="15" customFormat="1" customHeight="1" s="2">
      <c r="A25" s="44" t="n"/>
      <c r="B25" s="106" t="n">
        <v>64</v>
      </c>
      <c r="C25" s="218" t="inlineStr">
        <is>
          <t>TCK 64</t>
        </is>
      </c>
      <c r="D25" s="431" t="n">
        <v>0</v>
      </c>
      <c r="E25" s="432" t="n">
        <v>249.3</v>
      </c>
      <c r="F25" s="432" t="n">
        <v>498.7</v>
      </c>
      <c r="G25" s="432" t="n">
        <v>750.6</v>
      </c>
      <c r="H25" s="432" t="n">
        <v>998.1</v>
      </c>
      <c r="I25" s="124" t="inlineStr">
        <is>
          <t>P</t>
        </is>
      </c>
      <c r="J25" s="6" t="n"/>
      <c r="K25" s="7" t="n"/>
      <c r="L25" s="431" t="n"/>
      <c r="M25" s="432" t="n"/>
      <c r="N25" s="432" t="n"/>
      <c r="O25" s="432" t="n"/>
      <c r="P25" s="436" t="n"/>
      <c r="Q25" s="7" t="n"/>
      <c r="R25" s="42" t="n"/>
    </row>
    <row r="26" ht="15" customFormat="1" customHeight="1" s="2">
      <c r="A26" s="44" t="n"/>
      <c r="B26" s="106" t="n">
        <v>65</v>
      </c>
      <c r="C26" s="218" t="inlineStr">
        <is>
          <t>TCK 65</t>
        </is>
      </c>
      <c r="D26" s="431" t="n">
        <v>-0.2</v>
      </c>
      <c r="E26" s="432" t="n">
        <v>249.6</v>
      </c>
      <c r="F26" s="432" t="n">
        <v>499.4</v>
      </c>
      <c r="G26" s="432" t="n">
        <v>750.3</v>
      </c>
      <c r="H26" s="432" t="n">
        <v>999.7</v>
      </c>
      <c r="I26" s="124" t="inlineStr">
        <is>
          <t>P</t>
        </is>
      </c>
      <c r="J26" s="6" t="n"/>
      <c r="K26" s="7" t="n"/>
      <c r="L26" s="431" t="n"/>
      <c r="M26" s="432" t="n"/>
      <c r="N26" s="432" t="n"/>
      <c r="O26" s="432" t="n"/>
      <c r="P26" s="436" t="n"/>
      <c r="Q26" s="7" t="n"/>
      <c r="R26" s="42" t="n"/>
    </row>
    <row r="27" ht="15" customFormat="1" customHeight="1" s="2">
      <c r="A27" s="44" t="n"/>
      <c r="B27" s="106" t="n">
        <v>66</v>
      </c>
      <c r="C27" s="218" t="inlineStr">
        <is>
          <t>TCK 66</t>
        </is>
      </c>
      <c r="D27" s="431" t="n">
        <v>-0.6</v>
      </c>
      <c r="E27" s="432" t="n">
        <v>251.7</v>
      </c>
      <c r="F27" s="432" t="n">
        <v>500.9</v>
      </c>
      <c r="G27" s="432" t="n">
        <v>750.1</v>
      </c>
      <c r="H27" s="432" t="n">
        <v>1001.1</v>
      </c>
      <c r="I27" s="124" t="inlineStr">
        <is>
          <t>P</t>
        </is>
      </c>
      <c r="J27" s="6" t="n"/>
      <c r="K27" s="7" t="n"/>
      <c r="L27" s="431" t="n"/>
      <c r="M27" s="432" t="n"/>
      <c r="N27" s="432" t="n"/>
      <c r="O27" s="432" t="n"/>
      <c r="P27" s="436" t="n"/>
      <c r="Q27" s="7" t="n"/>
      <c r="R27" s="42" t="n"/>
    </row>
    <row r="28" ht="15" customFormat="1" customHeight="1" s="2">
      <c r="A28" s="44" t="n"/>
      <c r="B28" s="106" t="n">
        <v>67</v>
      </c>
      <c r="C28" s="218" t="inlineStr">
        <is>
          <t>TCK 67</t>
        </is>
      </c>
      <c r="D28" s="431" t="n">
        <v>-0.7</v>
      </c>
      <c r="E28" s="432" t="n">
        <v>249.9</v>
      </c>
      <c r="F28" s="432" t="n">
        <v>499.5</v>
      </c>
      <c r="G28" s="432" t="n">
        <v>749.7</v>
      </c>
      <c r="H28" s="432" t="n">
        <v>999.5</v>
      </c>
      <c r="I28" s="124" t="inlineStr">
        <is>
          <t>P</t>
        </is>
      </c>
      <c r="J28" s="6" t="n"/>
      <c r="K28" s="7" t="n"/>
      <c r="L28" s="431" t="n"/>
      <c r="M28" s="432" t="n"/>
      <c r="N28" s="432" t="n"/>
      <c r="O28" s="432" t="n"/>
      <c r="P28" s="436" t="n"/>
      <c r="Q28" s="7" t="n"/>
      <c r="R28" s="42" t="n"/>
    </row>
    <row r="29" ht="15" customFormat="1" customHeight="1" s="2" thickBot="1">
      <c r="A29" s="44" t="n"/>
      <c r="B29" s="106" t="n">
        <v>68</v>
      </c>
      <c r="C29" s="218" t="inlineStr">
        <is>
          <t>TCK 68</t>
        </is>
      </c>
      <c r="D29" s="431" t="n">
        <v>-0.9</v>
      </c>
      <c r="E29" s="432" t="n">
        <v>250</v>
      </c>
      <c r="F29" s="432" t="n">
        <v>499.8</v>
      </c>
      <c r="G29" s="432" t="n">
        <v>750.1</v>
      </c>
      <c r="H29" s="432" t="n">
        <v>1000.8</v>
      </c>
      <c r="I29" s="124" t="inlineStr">
        <is>
          <t>P</t>
        </is>
      </c>
      <c r="J29" s="6" t="n"/>
      <c r="K29" s="7" t="n"/>
      <c r="L29" s="431" t="n"/>
      <c r="M29" s="432" t="n"/>
      <c r="N29" s="432" t="n"/>
      <c r="O29" s="432" t="n"/>
      <c r="P29" s="436" t="n"/>
      <c r="Q29" s="7" t="n"/>
      <c r="R29" s="42" t="n"/>
    </row>
    <row r="30" ht="15" customFormat="1" customHeight="1" s="2" thickBot="1">
      <c r="A30" s="44" t="n"/>
      <c r="B30" s="47" t="n"/>
      <c r="C30" s="8" t="inlineStr">
        <is>
          <t xml:space="preserve">         Pre-Cals. Checked By.</t>
        </is>
      </c>
      <c r="D30" s="293" t="inlineStr">
        <is>
          <t>CD</t>
        </is>
      </c>
      <c r="E30" s="437" t="n"/>
      <c r="F30" s="47" t="n"/>
      <c r="G30" s="47" t="n"/>
      <c r="H30" s="47" t="n"/>
      <c r="I30" s="47" t="n"/>
      <c r="J30" s="47" t="n"/>
      <c r="K30" s="47" t="n"/>
      <c r="L30" s="47" t="n"/>
      <c r="M30" s="47" t="n"/>
      <c r="N30" s="47" t="n"/>
      <c r="O30" s="47" t="n"/>
      <c r="P30" s="47" t="n"/>
      <c r="Q30" s="47" t="n"/>
      <c r="R30" s="115" t="n"/>
    </row>
    <row r="31" ht="15" customFormat="1" customHeight="1" s="2" thickBot="1">
      <c r="A31" s="60" t="n"/>
      <c r="B31" s="16" t="n"/>
      <c r="C31" s="47" t="n"/>
      <c r="D31" s="47" t="n"/>
      <c r="E31" s="96" t="n"/>
      <c r="F31" s="16" t="inlineStr">
        <is>
          <t>DEVT No.</t>
        </is>
      </c>
      <c r="G31" s="309" t="inlineStr">
        <is>
          <t>Make / Model</t>
        </is>
      </c>
      <c r="H31" s="366" t="n"/>
      <c r="I31" s="366" t="n"/>
      <c r="J31" s="312" t="inlineStr">
        <is>
          <t>Calibration Due</t>
        </is>
      </c>
      <c r="K31" s="397" t="n"/>
      <c r="L31" s="397" t="n"/>
      <c r="M31" s="96" t="n"/>
      <c r="N31" s="438" t="inlineStr">
        <is>
          <t xml:space="preserve">Set Points are </t>
        </is>
      </c>
      <c r="O31" s="111" t="inlineStr">
        <is>
          <t>200 and 800 °C</t>
        </is>
      </c>
      <c r="P31" s="112" t="n"/>
      <c r="Q31" s="441" t="n"/>
      <c r="R31" s="42" t="n"/>
    </row>
    <row r="32" ht="15" customFormat="1" customHeight="1" s="2" thickBot="1">
      <c r="A32" s="60" t="n"/>
      <c r="B32" s="16" t="n"/>
      <c r="C32" s="47" t="n"/>
      <c r="D32" s="47" t="n"/>
      <c r="E32" s="96" t="inlineStr">
        <is>
          <t xml:space="preserve">Temperature Simulator Used. </t>
        </is>
      </c>
      <c r="F32" s="293" t="inlineStr">
        <is>
          <t>DEVT 891</t>
        </is>
      </c>
      <c r="G32" s="300" t="inlineStr">
        <is>
          <t>Additel Multifunction Process Calibrator</t>
        </is>
      </c>
      <c r="H32" s="380" t="n"/>
      <c r="I32" s="437" t="n"/>
      <c r="J32" s="439" t="n">
        <v>45303</v>
      </c>
      <c r="K32" s="380" t="n"/>
      <c r="L32" s="437" t="n"/>
      <c r="M32" s="96" t="n"/>
      <c r="N32" s="8" t="n"/>
      <c r="O32" s="16" t="n"/>
      <c r="P32" s="8" t="n"/>
      <c r="Q32" s="8" t="n"/>
      <c r="R32" s="42" t="n"/>
    </row>
    <row r="33" ht="15" customFormat="1" customHeight="1" s="2" thickBot="1">
      <c r="A33" s="114" t="n"/>
      <c r="B33" s="113" t="n"/>
      <c r="C33" s="113" t="n"/>
      <c r="D33" s="113" t="n"/>
      <c r="E33" s="113" t="n"/>
      <c r="F33" s="113" t="n"/>
      <c r="G33" s="113" t="n"/>
      <c r="H33" s="113" t="n"/>
      <c r="I33" s="113" t="n"/>
      <c r="J33" s="113" t="n"/>
      <c r="K33" s="113" t="n"/>
      <c r="L33" s="113" t="n"/>
      <c r="M33" s="113" t="n"/>
      <c r="N33" s="67" t="n"/>
      <c r="O33" s="67" t="n"/>
      <c r="P33" s="67" t="n"/>
      <c r="Q33" s="67" t="n"/>
      <c r="R33" s="51" t="n"/>
    </row>
    <row r="34" ht="15" customFormat="1" customHeight="1" s="2" thickTop="1">
      <c r="A34" s="52" t="n"/>
      <c r="B34" s="53" t="n"/>
      <c r="C34" s="53" t="n"/>
      <c r="D34" s="53" t="n"/>
      <c r="E34" s="53" t="n"/>
      <c r="F34" s="53" t="n"/>
      <c r="G34" s="53" t="n"/>
      <c r="H34" s="53" t="n"/>
      <c r="I34" s="53" t="n"/>
      <c r="J34" s="53" t="n"/>
      <c r="K34" s="53" t="n"/>
      <c r="L34" s="53" t="n"/>
      <c r="M34" s="93" t="n"/>
      <c r="N34" s="93" t="n"/>
      <c r="O34" s="93" t="n"/>
      <c r="P34" s="93" t="n"/>
      <c r="Q34" s="93" t="n"/>
      <c r="R34" s="94" t="n"/>
    </row>
    <row r="35" ht="25" customFormat="1" customHeight="1" s="2">
      <c r="A35" s="419" t="inlineStr">
        <is>
          <t>Test Bed High Temperature Measurement Calibration</t>
        </is>
      </c>
      <c r="B35" s="366" t="n"/>
      <c r="C35" s="366" t="n"/>
      <c r="D35" s="366" t="n"/>
      <c r="E35" s="366" t="n"/>
      <c r="F35" s="366" t="n"/>
      <c r="G35" s="366" t="n"/>
      <c r="H35" s="366" t="n"/>
      <c r="I35" s="366" t="n"/>
      <c r="J35" s="366" t="n"/>
      <c r="K35" s="366" t="n"/>
      <c r="L35" s="366" t="n"/>
      <c r="M35" s="366" t="n"/>
      <c r="N35" s="366" t="n"/>
      <c r="O35" s="366" t="n"/>
      <c r="P35" s="366" t="n"/>
      <c r="Q35" s="366" t="n"/>
      <c r="R35" s="376" t="n"/>
    </row>
    <row r="36" ht="15" customFormat="1" customHeight="1" s="2" thickBot="1">
      <c r="A36" s="122" t="n"/>
      <c r="B36" s="121" t="n"/>
      <c r="C36" s="119" t="n"/>
      <c r="D36" s="120" t="n"/>
      <c r="E36" s="120" t="n"/>
      <c r="F36" s="119" t="n"/>
      <c r="G36" s="119" t="n"/>
      <c r="H36" s="119" t="n"/>
      <c r="I36" s="119" t="n"/>
      <c r="J36" s="119" t="n"/>
      <c r="K36" s="119" t="n"/>
      <c r="L36" s="119" t="n"/>
      <c r="M36" s="118" t="n"/>
      <c r="N36" s="118" t="n"/>
      <c r="O36" s="118" t="n"/>
      <c r="P36" s="118" t="n"/>
      <c r="Q36" s="118" t="n"/>
      <c r="R36" s="117" t="n"/>
    </row>
    <row r="37" ht="15" customFormat="1" customHeight="1" s="2" thickBot="1">
      <c r="A37" s="41" t="n"/>
      <c r="B37" s="8" t="inlineStr">
        <is>
          <t xml:space="preserve">Job No. </t>
        </is>
      </c>
      <c r="C37" s="154">
        <f>Title!C4</f>
        <v/>
      </c>
      <c r="D37" s="6" t="n"/>
      <c r="E37" s="8" t="inlineStr">
        <is>
          <t xml:space="preserve">Calibrated By. </t>
        </is>
      </c>
      <c r="F37" s="14">
        <f>Title!C3</f>
        <v/>
      </c>
      <c r="G37" s="378" t="n"/>
      <c r="H37" s="6" t="n"/>
      <c r="I37" s="6" t="n"/>
      <c r="J37" s="8" t="inlineStr">
        <is>
          <t xml:space="preserve">Calibration Date. </t>
        </is>
      </c>
      <c r="K37" s="420">
        <f>Title!C9</f>
        <v/>
      </c>
      <c r="L37" s="380" t="n"/>
      <c r="M37" s="378" t="n"/>
      <c r="N37" s="7" t="n"/>
      <c r="O37" s="8" t="inlineStr">
        <is>
          <t>Bed No.</t>
        </is>
      </c>
      <c r="P37" s="421">
        <f>Title!F3</f>
        <v/>
      </c>
      <c r="Q37" s="378" t="n"/>
      <c r="R37" s="57" t="n"/>
    </row>
    <row r="38" ht="15" customFormat="1" customHeight="1" s="2">
      <c r="A38" s="41" t="n"/>
      <c r="B38" s="6" t="n"/>
      <c r="C38" s="6" t="n"/>
      <c r="D38" s="8" t="n"/>
      <c r="E38" s="8" t="n"/>
      <c r="F38" s="6" t="n"/>
      <c r="G38" s="8" t="n"/>
      <c r="H38" s="7" t="n"/>
      <c r="I38" s="7" t="n"/>
      <c r="J38" s="16" t="n"/>
      <c r="K38" s="7" t="n"/>
      <c r="L38" s="7" t="n"/>
      <c r="M38" s="7" t="n"/>
      <c r="N38" s="7" t="n"/>
      <c r="O38" s="7" t="n"/>
      <c r="P38" s="7" t="n"/>
      <c r="Q38" s="7" t="n"/>
      <c r="R38" s="42" t="n"/>
    </row>
    <row r="39" ht="15" customFormat="1" customHeight="1" s="2">
      <c r="A39" s="40" t="inlineStr">
        <is>
          <t>Acceptable Deviation: +/- 5°C, adjust if error &gt;4°C</t>
        </is>
      </c>
      <c r="B39" s="19" t="n"/>
      <c r="C39" s="19" t="n"/>
      <c r="D39" s="19" t="n"/>
      <c r="E39" s="19" t="n"/>
      <c r="F39" s="19" t="n"/>
      <c r="G39" s="19" t="n"/>
      <c r="H39" s="70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43" t="n"/>
    </row>
    <row r="40" ht="15" customFormat="1" customHeight="1" s="2" thickBot="1">
      <c r="A40" s="41" t="n"/>
      <c r="B40" s="297" t="n"/>
      <c r="C40" s="6" t="n"/>
      <c r="D40" s="6" t="n"/>
      <c r="E40" s="6" t="n"/>
      <c r="F40" s="6" t="n"/>
      <c r="G40" s="6" t="n"/>
      <c r="H40" s="6" t="n"/>
      <c r="I40" s="6" t="n"/>
      <c r="J40" s="6" t="n"/>
      <c r="K40" s="7" t="n"/>
      <c r="L40" s="7" t="n"/>
      <c r="M40" s="7" t="n"/>
      <c r="N40" s="7" t="n"/>
      <c r="O40" s="7" t="n"/>
      <c r="P40" s="7" t="n"/>
      <c r="Q40" s="7" t="n"/>
      <c r="R40" s="42" t="n"/>
    </row>
    <row r="41" ht="15" customFormat="1" customHeight="1" s="2">
      <c r="A41" s="44" t="n"/>
      <c r="B41" s="99" t="inlineStr">
        <is>
          <t>Chan.</t>
        </is>
      </c>
      <c r="C41" s="422" t="inlineStr">
        <is>
          <t>Channel Name</t>
        </is>
      </c>
      <c r="D41" s="423" t="inlineStr">
        <is>
          <t>Pre-Calibration Set Points °C.</t>
        </is>
      </c>
      <c r="E41" s="424" t="n"/>
      <c r="F41" s="424" t="n"/>
      <c r="G41" s="424" t="n"/>
      <c r="H41" s="425" t="n"/>
      <c r="I41" s="100" t="inlineStr">
        <is>
          <t>Pass/Fail</t>
        </is>
      </c>
      <c r="J41" s="6" t="n"/>
      <c r="K41" s="7" t="n"/>
      <c r="L41" s="423" t="inlineStr">
        <is>
          <t>Post-Calibration Set Points °C.</t>
        </is>
      </c>
      <c r="M41" s="424" t="n"/>
      <c r="N41" s="424" t="n"/>
      <c r="O41" s="424" t="n"/>
      <c r="P41" s="425" t="n"/>
      <c r="Q41" s="7" t="n"/>
      <c r="R41" s="42" t="n"/>
    </row>
    <row r="42" ht="15" customFormat="1" customHeight="1" s="2" thickBot="1">
      <c r="A42" s="44" t="n"/>
      <c r="B42" s="101" t="inlineStr">
        <is>
          <t>No.</t>
        </is>
      </c>
      <c r="C42" s="426" t="n"/>
      <c r="D42" s="427" t="n">
        <v>0</v>
      </c>
      <c r="E42" s="440" t="n">
        <v>250</v>
      </c>
      <c r="F42" s="428" t="n">
        <v>500</v>
      </c>
      <c r="G42" s="428" t="n">
        <v>750</v>
      </c>
      <c r="H42" s="428" t="n">
        <v>1000</v>
      </c>
      <c r="I42" s="123" t="inlineStr">
        <is>
          <t>(P/F)</t>
        </is>
      </c>
      <c r="J42" s="6" t="n"/>
      <c r="K42" s="7" t="n"/>
      <c r="L42" s="427" t="n">
        <v>0</v>
      </c>
      <c r="M42" s="428" t="n">
        <v>250</v>
      </c>
      <c r="N42" s="428" t="n">
        <v>500</v>
      </c>
      <c r="O42" s="428" t="n">
        <v>750</v>
      </c>
      <c r="P42" s="430" t="n">
        <v>1000</v>
      </c>
      <c r="Q42" s="7" t="n"/>
      <c r="R42" s="42" t="n"/>
    </row>
    <row r="43" ht="15" customFormat="1" customHeight="1" s="2">
      <c r="A43" s="44" t="n"/>
      <c r="B43" s="106" t="n">
        <v>69</v>
      </c>
      <c r="C43" s="218" t="inlineStr">
        <is>
          <t>TCK 69</t>
        </is>
      </c>
      <c r="D43" s="431" t="n">
        <v>0.5</v>
      </c>
      <c r="E43" s="432" t="n">
        <v>250.3</v>
      </c>
      <c r="F43" s="432" t="n">
        <v>500.9</v>
      </c>
      <c r="G43" s="432" t="n">
        <v>752.4</v>
      </c>
      <c r="H43" s="432" t="n">
        <v>999.9</v>
      </c>
      <c r="I43" s="124" t="inlineStr">
        <is>
          <t>P</t>
        </is>
      </c>
      <c r="J43" s="6" t="n"/>
      <c r="K43" s="7" t="n"/>
      <c r="L43" s="431" t="n"/>
      <c r="M43" s="432" t="n"/>
      <c r="N43" s="432" t="n"/>
      <c r="O43" s="432" t="n"/>
      <c r="P43" s="436" t="n"/>
      <c r="Q43" s="7" t="n"/>
      <c r="R43" s="42" t="n"/>
    </row>
    <row r="44" ht="15" customFormat="1" customHeight="1" s="2">
      <c r="A44" s="44" t="n"/>
      <c r="B44" s="106" t="n">
        <v>70</v>
      </c>
      <c r="C44" s="218" t="inlineStr">
        <is>
          <t>TCK 70</t>
        </is>
      </c>
      <c r="D44" s="431" t="n">
        <v>0.3</v>
      </c>
      <c r="E44" s="432" t="n">
        <v>250.2</v>
      </c>
      <c r="F44" s="432" t="n">
        <v>499.8</v>
      </c>
      <c r="G44" s="432" t="n">
        <v>750.4</v>
      </c>
      <c r="H44" s="432" t="n">
        <v>1001.4</v>
      </c>
      <c r="I44" s="124" t="inlineStr">
        <is>
          <t>P</t>
        </is>
      </c>
      <c r="J44" s="6" t="n"/>
      <c r="K44" s="7" t="n"/>
      <c r="L44" s="431" t="n"/>
      <c r="M44" s="432" t="n"/>
      <c r="N44" s="432" t="n"/>
      <c r="O44" s="432" t="n"/>
      <c r="P44" s="436" t="n"/>
      <c r="Q44" s="7" t="n"/>
      <c r="R44" s="42" t="n"/>
    </row>
    <row r="45" ht="13" customHeight="1">
      <c r="A45" s="44" t="n"/>
      <c r="B45" s="106" t="n">
        <v>71</v>
      </c>
      <c r="C45" s="218" t="inlineStr">
        <is>
          <t>TCK 71</t>
        </is>
      </c>
      <c r="D45" s="431" t="n">
        <v>0.2</v>
      </c>
      <c r="E45" s="432" t="n">
        <v>250.8</v>
      </c>
      <c r="F45" s="432" t="n">
        <v>499.8</v>
      </c>
      <c r="G45" s="432" t="n">
        <v>750.8</v>
      </c>
      <c r="H45" s="432" t="n">
        <v>1001.9</v>
      </c>
      <c r="I45" s="124" t="inlineStr">
        <is>
          <t>P</t>
        </is>
      </c>
      <c r="J45" s="6" t="n"/>
      <c r="K45" s="7" t="n"/>
      <c r="L45" s="431" t="n"/>
      <c r="M45" s="432" t="n"/>
      <c r="N45" s="432" t="n"/>
      <c r="O45" s="432" t="n"/>
      <c r="P45" s="436" t="n"/>
      <c r="Q45" s="7" t="n"/>
      <c r="R45" s="42" t="n"/>
    </row>
    <row r="46" ht="13" customHeight="1">
      <c r="A46" s="44" t="n"/>
      <c r="B46" s="106" t="n">
        <v>72</v>
      </c>
      <c r="C46" s="218" t="inlineStr">
        <is>
          <t>TCK 72</t>
        </is>
      </c>
      <c r="D46" s="431" t="n">
        <v>-0.9</v>
      </c>
      <c r="E46" s="432" t="n">
        <v>251.5</v>
      </c>
      <c r="F46" s="432" t="n">
        <v>502.9</v>
      </c>
      <c r="G46" s="432" t="n">
        <v>748.7</v>
      </c>
      <c r="H46" s="432" t="n">
        <v>1000.6</v>
      </c>
      <c r="I46" s="124" t="inlineStr">
        <is>
          <t>P</t>
        </is>
      </c>
      <c r="J46" s="6" t="n"/>
      <c r="K46" s="7" t="n"/>
      <c r="L46" s="431" t="n"/>
      <c r="M46" s="432" t="n"/>
      <c r="N46" s="432" t="n"/>
      <c r="O46" s="432" t="n"/>
      <c r="P46" s="436" t="n"/>
      <c r="Q46" s="7" t="n"/>
      <c r="R46" s="42" t="n"/>
    </row>
    <row r="47" ht="13" customHeight="1">
      <c r="A47" s="44" t="n"/>
      <c r="B47" s="106" t="n">
        <v>73</v>
      </c>
      <c r="C47" s="218" t="inlineStr">
        <is>
          <t>TCK 73</t>
        </is>
      </c>
      <c r="D47" s="431" t="n">
        <v>-1.7</v>
      </c>
      <c r="E47" s="432" t="n">
        <v>247.9</v>
      </c>
      <c r="F47" s="432" t="n">
        <v>498.4</v>
      </c>
      <c r="G47" s="432" t="n">
        <v>748.3</v>
      </c>
      <c r="H47" s="432" t="n">
        <v>998.3</v>
      </c>
      <c r="I47" s="124" t="inlineStr">
        <is>
          <t>P</t>
        </is>
      </c>
      <c r="J47" s="6" t="n"/>
      <c r="K47" s="7" t="n"/>
      <c r="L47" s="431" t="n"/>
      <c r="M47" s="432" t="n"/>
      <c r="N47" s="432" t="n"/>
      <c r="O47" s="432" t="n"/>
      <c r="P47" s="436" t="n"/>
      <c r="Q47" s="7" t="n"/>
      <c r="R47" s="42" t="n"/>
    </row>
    <row r="48" ht="13" customHeight="1">
      <c r="A48" s="44" t="n"/>
      <c r="B48" s="106" t="n">
        <v>74</v>
      </c>
      <c r="C48" s="218" t="inlineStr">
        <is>
          <t>TCK 74</t>
        </is>
      </c>
      <c r="D48" s="431" t="n">
        <v>-2</v>
      </c>
      <c r="E48" s="432" t="n">
        <v>247.8</v>
      </c>
      <c r="F48" s="432" t="n">
        <v>498.6</v>
      </c>
      <c r="G48" s="432" t="n">
        <v>748.4</v>
      </c>
      <c r="H48" s="432" t="n">
        <v>999</v>
      </c>
      <c r="I48" s="124" t="inlineStr">
        <is>
          <t>P</t>
        </is>
      </c>
      <c r="J48" s="6" t="n"/>
      <c r="K48" s="7" t="n"/>
      <c r="L48" s="431" t="n"/>
      <c r="M48" s="432" t="n"/>
      <c r="N48" s="432" t="n"/>
      <c r="O48" s="432" t="n"/>
      <c r="P48" s="436" t="n"/>
      <c r="Q48" s="7" t="n"/>
      <c r="R48" s="42" t="n"/>
    </row>
    <row r="49" ht="13" customHeight="1">
      <c r="A49" s="44" t="n"/>
      <c r="B49" s="106" t="n">
        <v>75</v>
      </c>
      <c r="C49" s="218" t="inlineStr">
        <is>
          <t>TCK 75</t>
        </is>
      </c>
      <c r="D49" s="431" t="n">
        <v>0.2</v>
      </c>
      <c r="E49" s="432" t="n">
        <v>249.8</v>
      </c>
      <c r="F49" s="432" t="n">
        <v>500.9</v>
      </c>
      <c r="G49" s="432" t="n">
        <v>750.6</v>
      </c>
      <c r="H49" s="432" t="n">
        <v>1000.5</v>
      </c>
      <c r="I49" s="124" t="inlineStr">
        <is>
          <t>P</t>
        </is>
      </c>
      <c r="J49" s="6" t="n"/>
      <c r="K49" s="7" t="n"/>
      <c r="L49" s="431" t="n"/>
      <c r="M49" s="432" t="n"/>
      <c r="N49" s="432" t="n"/>
      <c r="O49" s="432" t="n"/>
      <c r="P49" s="436" t="n"/>
      <c r="Q49" s="7" t="n"/>
      <c r="R49" s="42" t="n"/>
    </row>
    <row r="50" ht="13" customHeight="1">
      <c r="A50" s="44" t="n"/>
      <c r="B50" s="106" t="n">
        <v>76</v>
      </c>
      <c r="C50" s="218" t="inlineStr">
        <is>
          <t>TCK 76</t>
        </is>
      </c>
      <c r="D50" s="431" t="n">
        <v>0.3</v>
      </c>
      <c r="E50" s="432" t="n">
        <v>250.5</v>
      </c>
      <c r="F50" s="432" t="n">
        <v>499.9</v>
      </c>
      <c r="G50" s="432" t="n">
        <v>749.9</v>
      </c>
      <c r="H50" s="432" t="n">
        <v>999.5</v>
      </c>
      <c r="I50" s="124" t="inlineStr">
        <is>
          <t>P</t>
        </is>
      </c>
      <c r="J50" s="6" t="n"/>
      <c r="K50" s="7" t="n"/>
      <c r="L50" s="431" t="n"/>
      <c r="M50" s="432" t="n"/>
      <c r="N50" s="432" t="n"/>
      <c r="O50" s="432" t="n"/>
      <c r="P50" s="436" t="n"/>
      <c r="Q50" s="7" t="n"/>
      <c r="R50" s="42" t="n"/>
    </row>
    <row r="51" ht="13" customHeight="1">
      <c r="A51" s="44" t="n"/>
      <c r="B51" s="106" t="n">
        <v>77</v>
      </c>
      <c r="C51" s="218" t="inlineStr">
        <is>
          <t>TCK 77</t>
        </is>
      </c>
      <c r="D51" s="431" t="n">
        <v>0.5</v>
      </c>
      <c r="E51" s="432" t="n">
        <v>249.3</v>
      </c>
      <c r="F51" s="432" t="n">
        <v>500</v>
      </c>
      <c r="G51" s="432" t="n">
        <v>749.8</v>
      </c>
      <c r="H51" s="432" t="n">
        <v>999.9</v>
      </c>
      <c r="I51" s="124" t="inlineStr">
        <is>
          <t>P</t>
        </is>
      </c>
      <c r="J51" s="6" t="n"/>
      <c r="K51" s="7" t="n"/>
      <c r="L51" s="431" t="n"/>
      <c r="M51" s="432" t="n"/>
      <c r="N51" s="432" t="n"/>
      <c r="O51" s="432" t="n"/>
      <c r="P51" s="436" t="n"/>
      <c r="Q51" s="7" t="n"/>
      <c r="R51" s="42" t="n"/>
    </row>
    <row r="52" ht="13" customHeight="1">
      <c r="A52" s="44" t="n"/>
      <c r="B52" s="106" t="n">
        <v>78</v>
      </c>
      <c r="C52" s="218" t="inlineStr">
        <is>
          <t>TCK 78</t>
        </is>
      </c>
      <c r="D52" s="431" t="n">
        <v>-0.3</v>
      </c>
      <c r="E52" s="432" t="n">
        <v>249.9</v>
      </c>
      <c r="F52" s="432" t="n">
        <v>500.4</v>
      </c>
      <c r="G52" s="432" t="n">
        <v>749.7</v>
      </c>
      <c r="H52" s="432" t="n">
        <v>1000.3</v>
      </c>
      <c r="I52" s="124" t="inlineStr">
        <is>
          <t>P</t>
        </is>
      </c>
      <c r="J52" s="6" t="n"/>
      <c r="K52" s="7" t="n"/>
      <c r="L52" s="431" t="n"/>
      <c r="M52" s="432" t="n"/>
      <c r="N52" s="432" t="n"/>
      <c r="O52" s="432" t="n"/>
      <c r="P52" s="436" t="n"/>
      <c r="Q52" s="7" t="n"/>
      <c r="R52" s="42" t="n"/>
    </row>
    <row r="53" ht="13" customHeight="1">
      <c r="A53" s="44" t="n"/>
      <c r="B53" s="106" t="n">
        <v>79</v>
      </c>
      <c r="C53" s="218" t="inlineStr">
        <is>
          <t>TCK 79</t>
        </is>
      </c>
      <c r="D53" s="431" t="n">
        <v>-0.3</v>
      </c>
      <c r="E53" s="432" t="n">
        <v>251.5</v>
      </c>
      <c r="F53" s="432" t="n">
        <v>500.8</v>
      </c>
      <c r="G53" s="432" t="n">
        <v>749.7</v>
      </c>
      <c r="H53" s="432" t="n">
        <v>999.5</v>
      </c>
      <c r="I53" s="124" t="inlineStr">
        <is>
          <t>P</t>
        </is>
      </c>
      <c r="J53" s="6" t="n"/>
      <c r="K53" s="7" t="n"/>
      <c r="L53" s="431" t="n"/>
      <c r="M53" s="432" t="n"/>
      <c r="N53" s="432" t="n"/>
      <c r="O53" s="432" t="n"/>
      <c r="P53" s="436" t="n"/>
      <c r="Q53" s="7" t="n"/>
      <c r="R53" s="42" t="n"/>
    </row>
    <row r="54" ht="13" customHeight="1">
      <c r="A54" s="44" t="n"/>
      <c r="B54" s="106" t="n">
        <v>80</v>
      </c>
      <c r="C54" s="218" t="inlineStr">
        <is>
          <t>TCK 80</t>
        </is>
      </c>
      <c r="D54" s="431" t="n">
        <v>0.4</v>
      </c>
      <c r="E54" s="432" t="n">
        <v>249.3</v>
      </c>
      <c r="F54" s="432" t="n">
        <v>499</v>
      </c>
      <c r="G54" s="432" t="n">
        <v>749.6</v>
      </c>
      <c r="H54" s="432" t="n">
        <v>1001.2</v>
      </c>
      <c r="I54" s="124" t="inlineStr">
        <is>
          <t>P</t>
        </is>
      </c>
      <c r="J54" s="6" t="n"/>
      <c r="K54" s="7" t="n"/>
      <c r="L54" s="431" t="n"/>
      <c r="M54" s="432" t="n"/>
      <c r="N54" s="432" t="n"/>
      <c r="O54" s="432" t="n"/>
      <c r="P54" s="436" t="n"/>
      <c r="Q54" s="7" t="n"/>
      <c r="R54" s="42" t="n"/>
    </row>
    <row r="55" ht="13" customHeight="1">
      <c r="A55" s="44" t="n"/>
      <c r="B55" s="106" t="n">
        <v>81</v>
      </c>
      <c r="C55" s="218" t="inlineStr">
        <is>
          <t>TCK 81</t>
        </is>
      </c>
      <c r="D55" s="431" t="n">
        <v>1.4</v>
      </c>
      <c r="E55" s="432" t="n">
        <v>254.1</v>
      </c>
      <c r="F55" s="432" t="n">
        <v>504.1</v>
      </c>
      <c r="G55" s="432" t="n">
        <v>753.2</v>
      </c>
      <c r="H55" s="432" t="n">
        <v>1004.4</v>
      </c>
      <c r="I55" s="124" t="inlineStr">
        <is>
          <t>F</t>
        </is>
      </c>
      <c r="J55" s="6" t="n"/>
      <c r="K55" s="7" t="n"/>
      <c r="L55" s="431" t="n">
        <v>-0.8</v>
      </c>
      <c r="M55" s="432" t="n">
        <v>250.2</v>
      </c>
      <c r="N55" s="432" t="n">
        <v>500.2</v>
      </c>
      <c r="O55" s="432" t="n">
        <v>750.1</v>
      </c>
      <c r="P55" s="436" t="n">
        <v>1000</v>
      </c>
      <c r="Q55" s="7" t="n"/>
      <c r="R55" s="42" t="n"/>
    </row>
    <row r="56" ht="13" customHeight="1">
      <c r="A56" s="44" t="n"/>
      <c r="B56" s="106" t="n">
        <v>82</v>
      </c>
      <c r="C56" s="218" t="inlineStr">
        <is>
          <t>TCK 82</t>
        </is>
      </c>
      <c r="D56" s="431" t="n">
        <v>3.3</v>
      </c>
      <c r="E56" s="432" t="n">
        <v>253.8</v>
      </c>
      <c r="F56" s="432" t="n">
        <v>504.6</v>
      </c>
      <c r="G56" s="432" t="n">
        <v>753.6</v>
      </c>
      <c r="H56" s="432" t="n">
        <v>1003.8</v>
      </c>
      <c r="I56" s="124" t="inlineStr">
        <is>
          <t>F</t>
        </is>
      </c>
      <c r="J56" s="6" t="n"/>
      <c r="K56" s="7" t="n"/>
      <c r="L56" s="431" t="n">
        <v>-0.3</v>
      </c>
      <c r="M56" s="432" t="n">
        <v>250.2</v>
      </c>
      <c r="N56" s="432" t="n">
        <v>499.6</v>
      </c>
      <c r="O56" s="432" t="n">
        <v>749.6</v>
      </c>
      <c r="P56" s="436" t="n">
        <v>1000.5</v>
      </c>
      <c r="Q56" s="7" t="n"/>
      <c r="R56" s="42" t="n"/>
    </row>
    <row r="57" ht="13.5" customHeight="1" thickBot="1">
      <c r="A57" s="44" t="n"/>
      <c r="B57" s="106" t="n">
        <v>83</v>
      </c>
      <c r="C57" s="218" t="inlineStr">
        <is>
          <t>TCK 83</t>
        </is>
      </c>
      <c r="D57" s="431" t="n">
        <v>4.3</v>
      </c>
      <c r="E57" s="432" t="n">
        <v>253.6</v>
      </c>
      <c r="F57" s="432" t="n">
        <v>505.2</v>
      </c>
      <c r="G57" s="432" t="n">
        <v>756.6</v>
      </c>
      <c r="H57" s="432" t="n">
        <v>1005.7</v>
      </c>
      <c r="I57" s="124" t="inlineStr">
        <is>
          <t>F</t>
        </is>
      </c>
      <c r="J57" s="6" t="n"/>
      <c r="K57" s="7" t="n"/>
      <c r="L57" s="431" t="n">
        <v>-0.6</v>
      </c>
      <c r="M57" s="432" t="n">
        <v>250</v>
      </c>
      <c r="N57" s="432" t="n">
        <v>499.6</v>
      </c>
      <c r="O57" s="432" t="n">
        <v>749.7</v>
      </c>
      <c r="P57" s="436" t="n">
        <v>1000.5</v>
      </c>
      <c r="Q57" s="7" t="n"/>
      <c r="R57" s="42" t="n"/>
    </row>
    <row r="58" ht="13" customHeight="1" thickBot="1">
      <c r="A58" s="44" t="n"/>
      <c r="B58" s="47" t="n"/>
      <c r="C58" s="8" t="inlineStr">
        <is>
          <t xml:space="preserve">         Pre-Cals. Checked By.</t>
        </is>
      </c>
      <c r="D58" s="293" t="inlineStr">
        <is>
          <t>CD</t>
        </is>
      </c>
      <c r="E58" s="437" t="n"/>
      <c r="F58" s="47" t="n"/>
      <c r="G58" s="47" t="n"/>
      <c r="H58" s="47" t="n"/>
      <c r="I58" s="47" t="n"/>
      <c r="J58" s="47" t="n"/>
      <c r="K58" s="47" t="n"/>
      <c r="L58" s="47" t="n"/>
      <c r="M58" s="47" t="n"/>
      <c r="N58" s="47" t="n"/>
      <c r="O58" s="47" t="n"/>
      <c r="P58" s="47" t="n"/>
      <c r="Q58" s="47" t="n"/>
      <c r="R58" s="115" t="n"/>
    </row>
    <row r="59" ht="13" customHeight="1" thickBot="1">
      <c r="A59" s="60" t="n"/>
      <c r="B59" s="16" t="n"/>
      <c r="C59" s="47" t="n"/>
      <c r="D59" s="47" t="n"/>
      <c r="E59" s="96" t="n"/>
      <c r="F59" s="16" t="inlineStr">
        <is>
          <t>DEVT No.</t>
        </is>
      </c>
      <c r="G59" s="309" t="inlineStr">
        <is>
          <t>Make / Model</t>
        </is>
      </c>
      <c r="H59" s="366" t="n"/>
      <c r="I59" s="366" t="n"/>
      <c r="J59" s="312" t="inlineStr">
        <is>
          <t>Calibration Due</t>
        </is>
      </c>
      <c r="K59" s="397" t="n"/>
      <c r="L59" s="397" t="n"/>
      <c r="M59" s="96" t="n"/>
      <c r="N59" s="438" t="inlineStr">
        <is>
          <t xml:space="preserve">Set Points are </t>
        </is>
      </c>
      <c r="O59" s="111" t="inlineStr">
        <is>
          <t>200 and 800 °C</t>
        </is>
      </c>
      <c r="P59" s="112" t="n"/>
      <c r="Q59" s="441" t="n"/>
      <c r="R59" s="42" t="n"/>
    </row>
    <row r="60" ht="13" customHeight="1" thickBot="1">
      <c r="A60" s="60" t="n"/>
      <c r="B60" s="16" t="n"/>
      <c r="C60" s="47" t="n"/>
      <c r="D60" s="47" t="n"/>
      <c r="E60" s="96" t="inlineStr">
        <is>
          <t xml:space="preserve">Temperature Simulator Used. </t>
        </is>
      </c>
      <c r="F60" s="293" t="inlineStr">
        <is>
          <t>DEVT 891</t>
        </is>
      </c>
      <c r="G60" s="300" t="inlineStr">
        <is>
          <t>Additel Multifunction Process Calibrator</t>
        </is>
      </c>
      <c r="H60" s="380" t="n"/>
      <c r="I60" s="437" t="n"/>
      <c r="J60" s="439" t="n">
        <v>45303</v>
      </c>
      <c r="K60" s="380" t="n"/>
      <c r="L60" s="437" t="n"/>
      <c r="M60" s="96" t="n"/>
      <c r="N60" s="8" t="n"/>
      <c r="O60" s="16" t="n"/>
      <c r="P60" s="8" t="n"/>
      <c r="Q60" s="8" t="n"/>
      <c r="R60" s="42" t="n"/>
    </row>
    <row r="61" ht="13" customHeight="1" thickBot="1">
      <c r="A61" s="114" t="n"/>
      <c r="B61" s="113" t="n"/>
      <c r="C61" s="113" t="n"/>
      <c r="D61" s="113" t="n"/>
      <c r="E61" s="113" t="n"/>
      <c r="F61" s="113" t="n"/>
      <c r="G61" s="113" t="n"/>
      <c r="H61" s="113" t="n"/>
      <c r="I61" s="113" t="n"/>
      <c r="J61" s="113" t="n"/>
      <c r="K61" s="113" t="n"/>
      <c r="L61" s="113" t="n"/>
      <c r="M61" s="113" t="n"/>
      <c r="N61" s="67" t="n"/>
      <c r="O61" s="67" t="n"/>
      <c r="P61" s="67" t="n"/>
      <c r="Q61" s="67" t="n"/>
      <c r="R61" s="51" t="n"/>
    </row>
    <row r="62" ht="13" customHeight="1" thickTop="1">
      <c r="A62" s="311" t="n"/>
      <c r="B62" s="311" t="n"/>
      <c r="C62" s="311" t="n"/>
      <c r="D62" s="311" t="n"/>
      <c r="E62" s="311" t="n"/>
      <c r="F62" s="311" t="n"/>
      <c r="G62" s="311" t="n"/>
      <c r="H62" s="311" t="n"/>
      <c r="I62" s="311" t="n"/>
      <c r="J62" s="311" t="n"/>
      <c r="K62" s="311" t="n"/>
      <c r="L62" s="311" t="n"/>
      <c r="M62" s="311" t="n"/>
      <c r="N62" s="311" t="n"/>
      <c r="O62" s="311" t="n"/>
      <c r="P62" s="311" t="n"/>
      <c r="Q62" s="311" t="n"/>
      <c r="R62" s="311" t="n"/>
    </row>
  </sheetData>
  <mergeCells count="24">
    <mergeCell ref="F4:G4"/>
    <mergeCell ref="P4:Q4"/>
    <mergeCell ref="J32:L32"/>
    <mergeCell ref="A2:R2"/>
    <mergeCell ref="J31:L31"/>
    <mergeCell ref="C41:C42"/>
    <mergeCell ref="D41:H41"/>
    <mergeCell ref="L8:P8"/>
    <mergeCell ref="A35:R35"/>
    <mergeCell ref="G32:I32"/>
    <mergeCell ref="C8:C9"/>
    <mergeCell ref="G60:I60"/>
    <mergeCell ref="K4:M4"/>
    <mergeCell ref="K37:M37"/>
    <mergeCell ref="G31:I31"/>
    <mergeCell ref="D58:E58"/>
    <mergeCell ref="L41:P41"/>
    <mergeCell ref="P37:Q37"/>
    <mergeCell ref="G59:I59"/>
    <mergeCell ref="F37:G37"/>
    <mergeCell ref="D8:H8"/>
    <mergeCell ref="D30:E30"/>
    <mergeCell ref="J59:L59"/>
    <mergeCell ref="J60:L60"/>
  </mergeCells>
  <conditionalFormatting sqref="L10:O29">
    <cfRule type="cellIs" priority="11" operator="notBetween" dxfId="1" stopIfTrue="1">
      <formula>L$9-5</formula>
      <formula>L$9+5</formula>
    </cfRule>
    <cfRule type="cellIs" priority="12" operator="notBetween" dxfId="0" stopIfTrue="1">
      <formula>L$9-4</formula>
      <formula>L$9+4</formula>
    </cfRule>
  </conditionalFormatting>
  <conditionalFormatting sqref="P10:P29">
    <cfRule type="cellIs" priority="9" operator="notBetween" dxfId="1" stopIfTrue="1">
      <formula>P$9-5</formula>
      <formula>P$9+5</formula>
    </cfRule>
    <cfRule type="cellIs" priority="10" operator="notBetween" dxfId="0" stopIfTrue="1">
      <formula>P$9-4</formula>
      <formula>P$9+4</formula>
    </cfRule>
  </conditionalFormatting>
  <conditionalFormatting sqref="D10:H29">
    <cfRule type="cellIs" priority="15" operator="notBetween" dxfId="1" stopIfTrue="1">
      <formula>D$9-5</formula>
      <formula>D$9+5</formula>
    </cfRule>
    <cfRule type="cellIs" priority="16" operator="notBetween" dxfId="0" stopIfTrue="1">
      <formula>D$9-4</formula>
      <formula>D$9+4</formula>
    </cfRule>
  </conditionalFormatting>
  <conditionalFormatting sqref="I10:I29">
    <cfRule type="containsText" priority="13" operator="containsText" dxfId="81" stopIfTrue="1" text="P">
      <formula>NOT(ISERROR(SEARCH("P",I10)))</formula>
    </cfRule>
    <cfRule type="containsText" priority="14" operator="containsText" dxfId="80" stopIfTrue="1" text="F">
      <formula>NOT(ISERROR(SEARCH("F",I10)))</formula>
    </cfRule>
  </conditionalFormatting>
  <conditionalFormatting sqref="D43:H57">
    <cfRule type="cellIs" priority="7" operator="notBetween" dxfId="1" stopIfTrue="1">
      <formula>D$9-5</formula>
      <formula>D$9+5</formula>
    </cfRule>
    <cfRule type="cellIs" priority="8" operator="notBetween" dxfId="0" stopIfTrue="1">
      <formula>D$9-4</formula>
      <formula>D$9+4</formula>
    </cfRule>
  </conditionalFormatting>
  <conditionalFormatting sqref="I43:I57">
    <cfRule type="containsText" priority="5" operator="containsText" dxfId="81" stopIfTrue="1" text="P">
      <formula>NOT(ISERROR(SEARCH("P",I43)))</formula>
    </cfRule>
    <cfRule type="containsText" priority="6" operator="containsText" dxfId="80" stopIfTrue="1" text="F">
      <formula>NOT(ISERROR(SEARCH("F",I43)))</formula>
    </cfRule>
  </conditionalFormatting>
  <conditionalFormatting sqref="L43:O57">
    <cfRule type="cellIs" priority="3" operator="notBetween" dxfId="1" stopIfTrue="1">
      <formula>L$9-5</formula>
      <formula>L$9+5</formula>
    </cfRule>
    <cfRule type="cellIs" priority="4" operator="notBetween" dxfId="0" stopIfTrue="1">
      <formula>L$9-4</formula>
      <formula>L$9+4</formula>
    </cfRule>
  </conditionalFormatting>
  <conditionalFormatting sqref="P43:P57">
    <cfRule type="cellIs" priority="1" operator="notBetween" dxfId="1" stopIfTrue="1">
      <formula>P$9-5</formula>
      <formula>P$9+5</formula>
    </cfRule>
    <cfRule type="cellIs" priority="2" operator="notBetween" dxfId="0" stopIfTrue="1">
      <formula>P$9-4</formula>
      <formula>P$9+4</formula>
    </cfRule>
  </conditionalFormatting>
  <dataValidations count="1">
    <dataValidation sqref="P4 P37" showDropDown="0" showInputMessage="1" showErrorMessage="1" allowBlank="0" type="list">
      <formula1>"ST1 - TMA40522 (DEVT678),ST2 - TMA40523 (DEVT679),ST3 - TMA40524 (DEVT680),ST4 - TMA40525 (DEVT681),ST5 - TMA40526 (DEVT682),ST6 - TMA40532 (DEVT683),ST7 - TMA40533 (DEVT684),Cold Chamber - TMA56109 (DEVT709)"</formula1>
    </dataValidation>
  </dataValidations>
  <printOptions horizontalCentered="1" verticalCentered="1"/>
  <pageMargins left="0.3149606299212598" right="0.3149606299212598" top="0.3149606299212598" bottom="0.5118110236220472" header="0.3149606299212598" footer="0.3149606299212598"/>
  <pageSetup orientation="landscape" paperSize="9" scale="89" fitToHeight="0"/>
  <headerFooter alignWithMargins="0">
    <oddHeader/>
    <oddFooter>&amp;CTest Bed Calibration Results page &amp;P of &amp;N&amp;R&amp;"Calibri"&amp;11&amp;K000000&amp;"Calibri,Regular"&amp;11&amp;K000000&amp;F_x000d_&amp;1#&amp;"Calibri"&amp;10 &amp;K737373_x000a_&amp;D&amp;LCaterpillar: Confidential Green</oddFooter>
    <evenHeader/>
    <evenFooter/>
    <firstHeader/>
    <firstFooter/>
  </headerFooter>
  <rowBreaks count="1" manualBreakCount="1">
    <brk id="33" min="0" max="16383" man="1"/>
  </rowBreaks>
</worksheet>
</file>

<file path=xl/worksheets/sheet7.xml><?xml version="1.0" encoding="utf-8"?>
<worksheet xmlns="http://schemas.openxmlformats.org/spreadsheetml/2006/main">
  <sheetPr>
    <tabColor rgb="FFE0E0E0"/>
    <outlinePr summaryBelow="1" summaryRight="1"/>
    <pageSetUpPr fitToPage="1"/>
  </sheetPr>
  <dimension ref="A1:J23"/>
  <sheetViews>
    <sheetView workbookViewId="0">
      <selection activeCell="I16" sqref="I16"/>
    </sheetView>
  </sheetViews>
  <sheetFormatPr baseColWidth="8" defaultRowHeight="12.5"/>
  <cols>
    <col width="16.54296875" bestFit="1" customWidth="1" min="2" max="2"/>
    <col width="12.453125" bestFit="1" customWidth="1" min="3" max="3"/>
    <col width="15.26953125" bestFit="1" customWidth="1" min="4" max="4"/>
    <col width="9.81640625" customWidth="1" min="5" max="5"/>
    <col width="10.81640625" bestFit="1" customWidth="1" min="6" max="6"/>
    <col width="12.453125" bestFit="1" customWidth="1" min="7" max="7"/>
    <col width="11.54296875" bestFit="1" customWidth="1" min="8" max="8"/>
    <col width="11" customWidth="1" min="9" max="9"/>
  </cols>
  <sheetData>
    <row r="1" ht="13" customHeight="1" thickTop="1">
      <c r="A1" s="158" t="n"/>
      <c r="B1" s="29" t="n"/>
      <c r="C1" s="29" t="n"/>
      <c r="D1" s="29" t="n"/>
      <c r="E1" s="29" t="n"/>
      <c r="F1" s="29" t="n"/>
      <c r="G1" s="29" t="n"/>
      <c r="H1" s="29" t="n"/>
      <c r="I1" s="29" t="n"/>
      <c r="J1" s="30" t="n"/>
    </row>
    <row r="2" ht="25" customHeight="1">
      <c r="A2" s="159" t="n"/>
      <c r="B2" s="321" t="inlineStr">
        <is>
          <t>Test Bed Speed Measurement Calibration</t>
        </is>
      </c>
      <c r="C2" s="366" t="n"/>
      <c r="D2" s="366" t="n"/>
      <c r="E2" s="366" t="n"/>
      <c r="F2" s="366" t="n"/>
      <c r="G2" s="366" t="n"/>
      <c r="H2" s="366" t="n"/>
      <c r="I2" s="366" t="n"/>
      <c r="J2" s="376" t="n"/>
    </row>
    <row r="3" ht="13.5" customHeight="1" thickBot="1">
      <c r="A3" s="159" t="n"/>
      <c r="B3" s="6" t="n"/>
      <c r="C3" s="6" t="n"/>
      <c r="D3" s="6" t="n"/>
      <c r="E3" s="19" t="n"/>
      <c r="F3" s="19" t="n"/>
      <c r="G3" s="19" t="n"/>
      <c r="H3" s="6" t="n"/>
      <c r="I3" s="6" t="n"/>
      <c r="J3" s="48" t="n"/>
    </row>
    <row r="4" ht="13" customHeight="1" thickBot="1">
      <c r="A4" s="159" t="n"/>
      <c r="B4" s="6" t="n"/>
      <c r="C4" s="8" t="inlineStr">
        <is>
          <t xml:space="preserve">Job No. </t>
        </is>
      </c>
      <c r="D4" s="154">
        <f>Title!C4</f>
        <v/>
      </c>
      <c r="F4" s="8" t="inlineStr">
        <is>
          <t xml:space="preserve">Cal By. </t>
        </is>
      </c>
      <c r="G4" s="14">
        <f>Title!C3</f>
        <v/>
      </c>
      <c r="H4" s="156" t="n"/>
      <c r="J4" s="42" t="n"/>
    </row>
    <row r="5" ht="13" customHeight="1" thickBot="1">
      <c r="A5" s="159" t="n"/>
      <c r="B5" s="6" t="n"/>
      <c r="C5" s="6" t="n"/>
      <c r="D5" s="6" t="n"/>
      <c r="E5" s="7" t="n"/>
      <c r="F5" s="6" t="n"/>
      <c r="G5" s="6" t="n"/>
      <c r="H5" s="8" t="n"/>
      <c r="I5" s="6" t="n"/>
      <c r="J5" s="58" t="n"/>
    </row>
    <row r="6" ht="16" customHeight="1" thickBot="1">
      <c r="A6" s="159" t="n"/>
      <c r="B6" s="6" t="n"/>
      <c r="C6" s="8" t="inlineStr">
        <is>
          <t xml:space="preserve">Calibration Date. </t>
        </is>
      </c>
      <c r="D6" s="442">
        <f>Title!C9</f>
        <v/>
      </c>
      <c r="F6" s="8" t="inlineStr">
        <is>
          <t xml:space="preserve">Bed No. </t>
        </is>
      </c>
      <c r="G6" s="421">
        <f>Title!F3</f>
        <v/>
      </c>
      <c r="H6" s="380" t="n"/>
      <c r="I6" s="378" t="n"/>
      <c r="J6" s="59" t="n"/>
    </row>
    <row r="7">
      <c r="A7" s="159" t="n"/>
      <c r="B7" s="6" t="n"/>
      <c r="C7" s="7" t="n"/>
      <c r="D7" s="7" t="n"/>
      <c r="E7" s="6" t="n"/>
      <c r="F7" s="7" t="n"/>
      <c r="G7" s="7" t="n"/>
      <c r="H7" s="7" t="n"/>
      <c r="I7" s="6" t="n"/>
      <c r="J7" s="42" t="n"/>
    </row>
    <row r="8" ht="13" customHeight="1">
      <c r="A8" s="159" t="n"/>
      <c r="B8" s="157" t="inlineStr">
        <is>
          <t>Acceptable Deviation +/- 2 rpm.</t>
        </is>
      </c>
      <c r="C8" s="19" t="n"/>
      <c r="D8" s="19" t="n"/>
      <c r="E8" s="19" t="n"/>
      <c r="F8" s="19" t="n"/>
      <c r="G8" s="19" t="n"/>
      <c r="H8" s="19" t="n"/>
      <c r="I8" s="19" t="n"/>
      <c r="J8" s="43" t="n"/>
    </row>
    <row r="9" ht="13" customHeight="1" thickBot="1">
      <c r="A9" s="159" t="n"/>
      <c r="B9" s="6" t="n"/>
      <c r="C9" s="297" t="n"/>
      <c r="D9" s="6" t="n"/>
      <c r="E9" s="6" t="n"/>
      <c r="F9" s="6" t="n"/>
      <c r="G9" s="6" t="n"/>
      <c r="H9" s="6" t="n"/>
      <c r="I9" s="6" t="n"/>
      <c r="J9" s="48" t="n"/>
    </row>
    <row r="10" ht="13.5" customHeight="1" thickBot="1">
      <c r="A10" s="159" t="n"/>
      <c r="B10" s="161" t="inlineStr">
        <is>
          <t>No. of Teeth</t>
        </is>
      </c>
      <c r="C10" s="128" t="n">
        <v>156</v>
      </c>
      <c r="D10" s="443" t="inlineStr">
        <is>
          <t>Pre-Calibration</t>
        </is>
      </c>
      <c r="E10" s="444" t="n"/>
      <c r="F10" s="127" t="inlineStr">
        <is>
          <t>No. of Teeth</t>
        </is>
      </c>
      <c r="G10" s="128" t="n">
        <v>156</v>
      </c>
      <c r="H10" s="443" t="inlineStr">
        <is>
          <t>Post-Calibration</t>
        </is>
      </c>
      <c r="I10" s="444" t="n"/>
      <c r="J10" s="59" t="n"/>
    </row>
    <row r="11" ht="13" customHeight="1" thickBot="1">
      <c r="A11" s="159" t="n"/>
      <c r="B11" s="7" t="n"/>
      <c r="C11" s="445" t="inlineStr">
        <is>
          <t>Set Frequency Hz</t>
        </is>
      </c>
      <c r="D11" s="127" t="inlineStr">
        <is>
          <t>rpm</t>
        </is>
      </c>
      <c r="E11" s="446" t="inlineStr">
        <is>
          <t>Result</t>
        </is>
      </c>
      <c r="F11" s="7" t="n"/>
      <c r="G11" s="447" t="inlineStr">
        <is>
          <t>Set Frequency Hz</t>
        </is>
      </c>
      <c r="H11" s="132" t="inlineStr">
        <is>
          <t>rpm</t>
        </is>
      </c>
      <c r="I11" s="448" t="inlineStr">
        <is>
          <t>Result</t>
        </is>
      </c>
      <c r="J11" s="59" t="n"/>
    </row>
    <row r="12">
      <c r="A12" s="159" t="n"/>
      <c r="B12" s="7" t="n"/>
      <c r="C12" s="134">
        <f>(D12/60)*$C$10</f>
        <v/>
      </c>
      <c r="D12" s="165" t="n">
        <v>500</v>
      </c>
      <c r="E12" s="162" t="n">
        <v>500</v>
      </c>
      <c r="F12" s="7" t="n"/>
      <c r="G12" s="134">
        <f>(H12/60)*$G$10</f>
        <v/>
      </c>
      <c r="H12" s="165" t="n">
        <v>500</v>
      </c>
      <c r="I12" s="162" t="n"/>
      <c r="J12" s="59" t="n"/>
    </row>
    <row r="13">
      <c r="A13" s="159" t="n"/>
      <c r="B13" s="7" t="n"/>
      <c r="C13" s="135">
        <f>(D13/60)*$C$10</f>
        <v/>
      </c>
      <c r="D13" s="166" t="n">
        <v>1000</v>
      </c>
      <c r="E13" s="163" t="n">
        <v>1000</v>
      </c>
      <c r="F13" s="7" t="n"/>
      <c r="G13" s="136">
        <f>(H13/60)*$G$10</f>
        <v/>
      </c>
      <c r="H13" s="166" t="n">
        <v>1000</v>
      </c>
      <c r="I13" s="163" t="n"/>
      <c r="J13" s="59" t="n"/>
    </row>
    <row r="14">
      <c r="A14" s="159" t="n"/>
      <c r="B14" s="7" t="n"/>
      <c r="C14" s="135">
        <f>(D14/60)*$C$10</f>
        <v/>
      </c>
      <c r="D14" s="166" t="n">
        <v>1500</v>
      </c>
      <c r="E14" s="163" t="n">
        <v>1500</v>
      </c>
      <c r="F14" s="7" t="n"/>
      <c r="G14" s="136">
        <f>(H14/60)*$G$10</f>
        <v/>
      </c>
      <c r="H14" s="166" t="n">
        <v>1500</v>
      </c>
      <c r="I14" s="163" t="n"/>
      <c r="J14" s="59" t="n"/>
    </row>
    <row r="15">
      <c r="A15" s="159" t="n"/>
      <c r="B15" s="7" t="n"/>
      <c r="C15" s="135">
        <f>(D15/60)*$C$10</f>
        <v/>
      </c>
      <c r="D15" s="166" t="n">
        <v>2000</v>
      </c>
      <c r="E15" s="163" t="n">
        <v>2000</v>
      </c>
      <c r="F15" s="7" t="n"/>
      <c r="G15" s="136">
        <f>(H15/60)*$G$10</f>
        <v/>
      </c>
      <c r="H15" s="166" t="n">
        <v>2000</v>
      </c>
      <c r="I15" s="163" t="n"/>
      <c r="J15" s="59" t="n"/>
    </row>
    <row r="16">
      <c r="A16" s="159" t="n"/>
      <c r="B16" s="7" t="n"/>
      <c r="C16" s="135">
        <f>(D16/60)*$C$10</f>
        <v/>
      </c>
      <c r="D16" s="166" t="n">
        <v>2500</v>
      </c>
      <c r="E16" s="163" t="n">
        <v>2500</v>
      </c>
      <c r="F16" s="7" t="n"/>
      <c r="G16" s="136">
        <f>(H16/60)*$G$10</f>
        <v/>
      </c>
      <c r="H16" s="166" t="n">
        <v>2500</v>
      </c>
      <c r="I16" s="163" t="n"/>
      <c r="J16" s="59" t="n"/>
    </row>
    <row r="17" ht="13" customHeight="1" thickBot="1">
      <c r="A17" s="159" t="n"/>
      <c r="B17" s="7" t="n"/>
      <c r="C17" s="137">
        <f>(D17/60)*$C$10</f>
        <v/>
      </c>
      <c r="D17" s="167" t="n">
        <v>3000</v>
      </c>
      <c r="E17" s="164" t="n">
        <v>3000</v>
      </c>
      <c r="F17" s="7" t="n"/>
      <c r="G17" s="138">
        <f>(H17/60)*$G$10</f>
        <v/>
      </c>
      <c r="H17" s="167" t="n">
        <v>3000</v>
      </c>
      <c r="I17" s="164" t="n"/>
      <c r="J17" s="59" t="n"/>
    </row>
    <row r="18">
      <c r="A18" s="159" t="n"/>
      <c r="B18" s="7" t="n"/>
      <c r="C18" s="297" t="n"/>
      <c r="D18" s="441" t="inlineStr">
        <is>
          <t>Pass/Fail</t>
        </is>
      </c>
      <c r="E18" s="61" t="inlineStr">
        <is>
          <t>P</t>
        </is>
      </c>
      <c r="F18" s="16" t="n"/>
      <c r="G18" s="16" t="n"/>
      <c r="H18" s="441" t="inlineStr">
        <is>
          <t>Pass/Fail</t>
        </is>
      </c>
      <c r="I18" s="61" t="n"/>
      <c r="J18" s="42" t="n"/>
    </row>
    <row r="19" ht="13" customHeight="1" thickBot="1">
      <c r="A19" s="159" t="n"/>
      <c r="B19" s="7" t="n"/>
      <c r="C19" s="7" t="n"/>
      <c r="D19" s="441" t="inlineStr">
        <is>
          <t>Checked By.</t>
        </is>
      </c>
      <c r="E19" s="15" t="inlineStr">
        <is>
          <t>CD</t>
        </is>
      </c>
      <c r="F19" s="7" t="n"/>
      <c r="G19" s="49" t="n"/>
      <c r="H19" s="441" t="inlineStr">
        <is>
          <t>Checked By.</t>
        </is>
      </c>
      <c r="I19" s="15" t="inlineStr">
        <is>
          <t>CD</t>
        </is>
      </c>
      <c r="J19" s="42" t="n"/>
    </row>
    <row r="20">
      <c r="A20" s="159" t="n"/>
      <c r="B20" s="125" t="inlineStr">
        <is>
          <t xml:space="preserve">  Equipment Used. </t>
        </is>
      </c>
      <c r="C20" s="7" t="n"/>
      <c r="D20" s="7" t="n"/>
      <c r="E20" s="7" t="n"/>
      <c r="F20" s="7" t="n"/>
      <c r="G20" s="295" t="n"/>
      <c r="H20" s="366" t="n"/>
      <c r="I20" s="7" t="n"/>
      <c r="J20" s="42" t="n"/>
    </row>
    <row r="21" ht="13" customHeight="1" thickBot="1">
      <c r="A21" s="159" t="n"/>
      <c r="B21" s="16" t="inlineStr">
        <is>
          <t>Signal</t>
        </is>
      </c>
      <c r="C21" s="16" t="inlineStr">
        <is>
          <t>INS No.</t>
        </is>
      </c>
      <c r="D21" s="295" t="inlineStr">
        <is>
          <t>Make / Model</t>
        </is>
      </c>
      <c r="E21" s="366" t="n"/>
      <c r="F21" s="295" t="inlineStr">
        <is>
          <t>Serial No.</t>
        </is>
      </c>
      <c r="G21" s="366" t="n"/>
      <c r="H21" s="6" t="inlineStr">
        <is>
          <t>Calibration Due</t>
        </is>
      </c>
      <c r="I21" s="6" t="n"/>
      <c r="J21" s="42" t="n"/>
    </row>
    <row r="22" ht="13" customHeight="1" thickBot="1">
      <c r="A22" s="159" t="n"/>
      <c r="B22" s="16" t="inlineStr">
        <is>
          <t>Generator</t>
        </is>
      </c>
      <c r="C22" s="14" t="inlineStr">
        <is>
          <t>DEVT 891</t>
        </is>
      </c>
      <c r="D22" s="315" t="inlineStr">
        <is>
          <t>Additel Multifunction Process Calibrator</t>
        </is>
      </c>
      <c r="E22" s="437" t="n"/>
      <c r="F22" s="316" t="n">
        <v>410220040064</v>
      </c>
      <c r="G22" s="437" t="n"/>
      <c r="H22" s="449" t="n">
        <v>45303</v>
      </c>
      <c r="I22" s="437" t="n"/>
      <c r="J22" s="42" t="n"/>
    </row>
    <row r="23" ht="13" customHeight="1" thickBot="1">
      <c r="A23" s="160" t="n"/>
      <c r="B23" s="139" t="n"/>
      <c r="C23" s="139" t="n"/>
      <c r="D23" s="139" t="n"/>
      <c r="E23" s="139" t="n"/>
      <c r="F23" s="139" t="n"/>
      <c r="G23" s="139" t="n"/>
      <c r="H23" s="139" t="n"/>
      <c r="I23" s="139" t="n"/>
      <c r="J23" s="51" t="n"/>
    </row>
    <row r="24" ht="13" customHeight="1" thickTop="1"/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 password="CDF2"/>
  <mergeCells count="10">
    <mergeCell ref="F21:G21"/>
    <mergeCell ref="G20:H20"/>
    <mergeCell ref="D10:E10"/>
    <mergeCell ref="G6:I6"/>
    <mergeCell ref="H10:I10"/>
    <mergeCell ref="F22:G22"/>
    <mergeCell ref="D22:E22"/>
    <mergeCell ref="H22:I22"/>
    <mergeCell ref="B2:J2"/>
    <mergeCell ref="D21:E21"/>
  </mergeCells>
  <conditionalFormatting sqref="E12 I12">
    <cfRule type="cellIs" priority="3" operator="notBetween" dxfId="1" stopIfTrue="1">
      <formula>498</formula>
      <formula>502</formula>
    </cfRule>
  </conditionalFormatting>
  <conditionalFormatting sqref="E13 I13">
    <cfRule type="cellIs" priority="4" operator="notBetween" dxfId="1" stopIfTrue="1">
      <formula>998</formula>
      <formula>1002</formula>
    </cfRule>
  </conditionalFormatting>
  <conditionalFormatting sqref="E14 I14">
    <cfRule type="cellIs" priority="5" operator="notBetween" dxfId="1" stopIfTrue="1">
      <formula>1498</formula>
      <formula>1502</formula>
    </cfRule>
  </conditionalFormatting>
  <conditionalFormatting sqref="E15 I15">
    <cfRule type="cellIs" priority="6" operator="notBetween" dxfId="1" stopIfTrue="1">
      <formula>1998</formula>
      <formula>2002</formula>
    </cfRule>
  </conditionalFormatting>
  <conditionalFormatting sqref="E16 I16">
    <cfRule type="cellIs" priority="7" operator="notBetween" dxfId="1" stopIfTrue="1">
      <formula>2498</formula>
      <formula>2502</formula>
    </cfRule>
  </conditionalFormatting>
  <conditionalFormatting sqref="E17 I17">
    <cfRule type="cellIs" priority="8" operator="notBetween" dxfId="1" stopIfTrue="1">
      <formula>2998</formula>
      <formula>3002</formula>
    </cfRule>
  </conditionalFormatting>
  <conditionalFormatting sqref="C12:C17">
    <cfRule type="cellIs" priority="2" operator="notBetween" dxfId="1" stopIfTrue="1">
      <formula>498</formula>
      <formula>502</formula>
    </cfRule>
  </conditionalFormatting>
  <conditionalFormatting sqref="G12:G17">
    <cfRule type="cellIs" priority="1" operator="notBetween" dxfId="1" stopIfTrue="1">
      <formula>498</formula>
      <formula>502</formula>
    </cfRule>
  </conditionalFormatting>
  <dataValidations count="1">
    <dataValidation sqref="G6" showDropDown="0" showInputMessage="1" showErrorMessage="1" allowBlank="0" type="list">
      <formula1>"ST1 - TMA40522 (DEVT678),ST2 - TMA40523 (DEVT679),ST3 - TMA40524 (DEVT680),ST4 - TMA40525 (DEVT681),ST5 - TMA40526 (DEVT682),ST6 - TMA40532 (DEVT683),ST7 - TMA40533 (DEVT684),Cold Chamber - TMA56109 (DEVT709)"</formula1>
    </dataValidation>
  </dataValidations>
  <printOptions horizontalCentered="1" verticalCentered="1"/>
  <pageMargins left="0.3149606299212598" right="0.3149606299212598" top="0.3149606299212598" bottom="0.5118110236220472" header="0.3149606299212598" footer="0.3149606299212598"/>
  <pageSetup orientation="landscape" paperSize="9" fitToHeight="0"/>
  <headerFooter alignWithMargins="0">
    <oddHeader>&amp;L&amp;G</oddHeader>
    <oddFooter>&amp;CTest Bed Calibratioin Results page 6 of 9&amp;R&amp;"Calibri"&amp;11&amp;K000000&amp;F_x000d_&amp;1#&amp;"Calibri"&amp;10 &amp;K737373Caterpillar: Confidential Green_x000a_&amp;D&amp;LCaterpillar: Confidential Green</oddFooter>
    <evenHeader/>
    <evenFooter/>
    <firstHeader/>
    <firstFooter/>
  </headerFooter>
</worksheet>
</file>

<file path=xl/worksheets/sheet8.xml><?xml version="1.0" encoding="utf-8"?>
<worksheet xmlns="http://schemas.openxmlformats.org/spreadsheetml/2006/main">
  <sheetPr codeName="Sheet21">
    <tabColor rgb="FF00FF00"/>
    <outlinePr summaryBelow="1" summaryRight="1"/>
    <pageSetUpPr fitToPage="1"/>
  </sheetPr>
  <dimension ref="A1:X65"/>
  <sheetViews>
    <sheetView showGridLines="0" tabSelected="1" topLeftCell="A25" zoomScaleNormal="100" workbookViewId="0">
      <selection activeCell="F44" sqref="F44"/>
    </sheetView>
  </sheetViews>
  <sheetFormatPr baseColWidth="8" defaultColWidth="8.81640625" defaultRowHeight="12.5"/>
  <cols>
    <col width="3.54296875" customWidth="1" style="183" min="1" max="2"/>
    <col width="12.54296875" customWidth="1" style="183" min="3" max="4"/>
    <col width="8.6328125" customWidth="1" style="183" min="5" max="5"/>
    <col width="8.54296875" customWidth="1" style="183" min="6" max="16"/>
    <col width="9" customWidth="1" style="183" min="17" max="17"/>
    <col width="7.6328125" customWidth="1" style="183" min="18" max="19"/>
    <col width="8.90625" bestFit="1" customWidth="1" style="183" min="20" max="20"/>
    <col width="8.453125" bestFit="1" customWidth="1" style="183" min="21" max="21"/>
    <col width="10" customWidth="1" style="183" min="22" max="22"/>
    <col width="10" customWidth="1" style="211" min="23" max="23"/>
    <col width="4.81640625" customWidth="1" style="183" min="24" max="24"/>
    <col width="8.81640625" customWidth="1" style="183" min="25" max="16384"/>
  </cols>
  <sheetData>
    <row r="1" ht="25" customHeight="1">
      <c r="A1" s="325" t="inlineStr">
        <is>
          <t>Test Bed Calibration Report</t>
        </is>
      </c>
      <c r="B1" s="366" t="n"/>
      <c r="C1" s="366" t="n"/>
      <c r="D1" s="366" t="n"/>
      <c r="E1" s="366" t="n"/>
      <c r="F1" s="366" t="n"/>
      <c r="G1" s="366" t="n"/>
      <c r="H1" s="366" t="n"/>
      <c r="I1" s="366" t="n"/>
      <c r="J1" s="366" t="n"/>
      <c r="K1" s="366" t="n"/>
      <c r="L1" s="366" t="n"/>
      <c r="M1" s="366" t="n"/>
      <c r="N1" s="366" t="n"/>
      <c r="O1" s="366" t="n"/>
      <c r="P1" s="366" t="n"/>
      <c r="Q1" s="366" t="n"/>
      <c r="R1" s="366" t="n"/>
      <c r="S1" s="366" t="n"/>
      <c r="T1" s="366" t="n"/>
      <c r="U1" s="366" t="n"/>
      <c r="V1" s="366" t="n"/>
      <c r="W1" s="326" t="n"/>
      <c r="X1" s="182" t="n"/>
    </row>
    <row r="2" ht="15" customFormat="1" customHeight="1" s="187">
      <c r="A2" s="184" t="n"/>
      <c r="B2" s="184" t="n"/>
      <c r="C2" s="185" t="n"/>
      <c r="D2" s="185" t="n"/>
      <c r="E2" s="186" t="n"/>
      <c r="F2" s="185" t="n"/>
      <c r="G2" s="184" t="n"/>
      <c r="H2" s="185" t="n"/>
      <c r="I2" s="185" t="n"/>
      <c r="J2" s="185" t="n"/>
      <c r="K2" s="185" t="n"/>
      <c r="L2" s="182" t="n"/>
      <c r="M2" s="185" t="n"/>
      <c r="N2" s="185" t="n"/>
      <c r="O2" s="185" t="n"/>
      <c r="P2" s="185" t="n"/>
      <c r="Q2" s="182" t="n"/>
      <c r="R2" s="182" t="n"/>
      <c r="S2" s="182" t="n"/>
      <c r="T2" s="182" t="n"/>
      <c r="U2" s="185" t="n"/>
      <c r="V2" s="185" t="n"/>
      <c r="W2" s="185" t="n"/>
      <c r="X2" s="182" t="n"/>
    </row>
    <row r="3" ht="15" customFormat="1" customHeight="1" s="187">
      <c r="A3" s="327" t="inlineStr">
        <is>
          <t>This form is to be completed after carrying out bed calibrations.</t>
        </is>
      </c>
      <c r="B3" s="366" t="n"/>
      <c r="C3" s="366" t="n"/>
      <c r="D3" s="366" t="n"/>
      <c r="E3" s="366" t="n"/>
      <c r="F3" s="366" t="n"/>
      <c r="G3" s="366" t="n"/>
      <c r="H3" s="366" t="n"/>
      <c r="I3" s="366" t="n"/>
      <c r="J3" s="366" t="n"/>
      <c r="K3" s="366" t="n"/>
      <c r="L3" s="366" t="n"/>
      <c r="M3" s="366" t="n"/>
      <c r="N3" s="366" t="n"/>
      <c r="O3" s="366" t="n"/>
      <c r="P3" s="366" t="n"/>
      <c r="Q3" s="366" t="n"/>
      <c r="R3" s="366" t="n"/>
      <c r="S3" s="366" t="n"/>
      <c r="T3" s="366" t="n"/>
      <c r="U3" s="366" t="n"/>
      <c r="V3" s="366" t="n"/>
      <c r="W3" s="328" t="n"/>
      <c r="X3" s="182" t="n"/>
    </row>
    <row r="4" ht="15" customFormat="1" customHeight="1" s="187">
      <c r="A4" s="327" t="inlineStr">
        <is>
          <t>Any channel not within its acceptable deviation should be reported on this sheet.</t>
        </is>
      </c>
      <c r="B4" s="366" t="n"/>
      <c r="C4" s="366" t="n"/>
      <c r="D4" s="366" t="n"/>
      <c r="E4" s="366" t="n"/>
      <c r="F4" s="366" t="n"/>
      <c r="G4" s="366" t="n"/>
      <c r="H4" s="366" t="n"/>
      <c r="I4" s="366" t="n"/>
      <c r="J4" s="366" t="n"/>
      <c r="K4" s="366" t="n"/>
      <c r="L4" s="366" t="n"/>
      <c r="M4" s="366" t="n"/>
      <c r="N4" s="366" t="n"/>
      <c r="O4" s="366" t="n"/>
      <c r="P4" s="366" t="n"/>
      <c r="Q4" s="366" t="n"/>
      <c r="R4" s="366" t="n"/>
      <c r="S4" s="366" t="n"/>
      <c r="T4" s="366" t="n"/>
      <c r="U4" s="366" t="n"/>
      <c r="V4" s="366" t="n"/>
      <c r="W4" s="328" t="n"/>
      <c r="X4" s="182" t="n"/>
    </row>
    <row r="5" ht="15" customFormat="1" customHeight="1" s="187" thickBot="1">
      <c r="A5" s="182" t="n"/>
      <c r="B5" s="182" t="n"/>
      <c r="C5" s="182" t="n"/>
      <c r="D5" s="182" t="n"/>
      <c r="E5" s="186" t="n"/>
      <c r="F5" s="182" t="n"/>
      <c r="G5" s="182" t="n"/>
      <c r="H5" s="182" t="n"/>
      <c r="I5" s="182" t="n"/>
      <c r="J5" s="182" t="n"/>
      <c r="K5" s="182" t="n"/>
      <c r="L5" s="182" t="n"/>
      <c r="M5" s="182" t="n"/>
      <c r="N5" s="182" t="n"/>
      <c r="O5" s="182" t="n"/>
      <c r="P5" s="182" t="n"/>
      <c r="Q5" s="182" t="n"/>
      <c r="R5" s="182" t="n"/>
      <c r="S5" s="182" t="n"/>
      <c r="T5" s="182" t="n"/>
      <c r="U5" s="182" t="n"/>
      <c r="V5" s="182" t="n"/>
      <c r="W5" s="182" t="n"/>
      <c r="X5" s="182" t="n"/>
    </row>
    <row r="6" ht="14.5" customFormat="1" customHeight="1" s="187" thickBot="1">
      <c r="A6" s="184" t="n"/>
      <c r="B6" s="184" t="n"/>
      <c r="D6" s="185" t="inlineStr">
        <is>
          <t xml:space="preserve">Job No. </t>
        </is>
      </c>
      <c r="E6" s="153">
        <f>'Engine Speed'!D4</f>
        <v/>
      </c>
      <c r="L6" s="186" t="n"/>
      <c r="N6" s="185" t="n"/>
      <c r="O6" s="185" t="n"/>
      <c r="P6" s="185" t="inlineStr">
        <is>
          <t xml:space="preserve">Author. </t>
        </is>
      </c>
      <c r="Q6" s="450">
        <f>'Engine Speed'!G4</f>
        <v/>
      </c>
      <c r="R6" s="380" t="n"/>
      <c r="S6" s="380" t="n"/>
      <c r="T6" s="380" t="n"/>
      <c r="U6" s="378" t="n"/>
      <c r="X6" s="182" t="n"/>
    </row>
    <row r="7" ht="15" customFormat="1" customHeight="1" s="187" thickBot="1">
      <c r="A7" s="184" t="n"/>
      <c r="B7" s="184" t="n"/>
      <c r="C7" s="185" t="n"/>
      <c r="D7" s="185" t="n"/>
      <c r="E7" s="186" t="n"/>
      <c r="F7" s="185" t="n"/>
      <c r="G7" s="184" t="n"/>
      <c r="H7" s="185" t="n"/>
      <c r="I7" s="185" t="n"/>
      <c r="J7" s="185" t="n"/>
      <c r="K7" s="185" t="n"/>
      <c r="L7" s="182" t="n"/>
      <c r="M7" s="185" t="n"/>
      <c r="N7" s="185" t="n"/>
      <c r="O7" s="185" t="n"/>
      <c r="P7" s="185" t="n"/>
      <c r="Q7" s="182" t="n"/>
      <c r="R7" s="182" t="n"/>
      <c r="S7" s="182" t="n"/>
      <c r="T7" s="182" t="n"/>
      <c r="U7" s="185" t="n"/>
      <c r="V7" s="185" t="n"/>
      <c r="W7" s="185" t="n"/>
      <c r="X7" s="182" t="n"/>
    </row>
    <row r="8" ht="15" customFormat="1" customHeight="1" s="187" thickBot="1">
      <c r="A8" s="184" t="n"/>
      <c r="B8" s="184" t="n"/>
      <c r="D8" s="185" t="inlineStr">
        <is>
          <t xml:space="preserve">Date Report Completed: </t>
        </is>
      </c>
      <c r="E8" s="451" t="n">
        <v>45014</v>
      </c>
      <c r="F8" s="378" t="n"/>
      <c r="G8" s="185" t="n"/>
      <c r="H8" s="185" t="n"/>
      <c r="I8" s="185" t="n"/>
      <c r="J8" s="184" t="n"/>
      <c r="K8" s="184" t="n"/>
      <c r="L8" s="184" t="n"/>
      <c r="M8" s="184" t="n"/>
      <c r="N8" s="185" t="n"/>
      <c r="O8" s="185" t="n"/>
      <c r="P8" s="185" t="inlineStr">
        <is>
          <t xml:space="preserve">Bed No. </t>
        </is>
      </c>
      <c r="Q8" s="381" t="inlineStr">
        <is>
          <t>ST7 - TMA40533 (DEVT684)</t>
        </is>
      </c>
      <c r="R8" s="380" t="n"/>
      <c r="S8" s="380" t="n"/>
      <c r="T8" s="380" t="n"/>
      <c r="U8" s="380" t="n"/>
      <c r="V8" s="378" t="n"/>
      <c r="W8" s="188" t="n"/>
      <c r="X8" s="182" t="n"/>
    </row>
    <row r="9" ht="15" customFormat="1" customHeight="1" s="187" thickBot="1">
      <c r="A9" s="184" t="n"/>
      <c r="B9" s="184" t="n"/>
      <c r="C9" s="185" t="n"/>
      <c r="D9" s="185" t="n"/>
      <c r="E9" s="186" t="n"/>
      <c r="F9" s="185" t="n"/>
      <c r="G9" s="184" t="n"/>
      <c r="H9" s="185" t="n"/>
      <c r="I9" s="185" t="n"/>
      <c r="J9" s="185" t="n"/>
      <c r="K9" s="185" t="n"/>
      <c r="L9" s="185" t="n"/>
      <c r="M9" s="185" t="n"/>
      <c r="N9" s="185" t="n"/>
      <c r="O9" s="185" t="n"/>
      <c r="P9" s="185" t="n"/>
      <c r="Q9" s="182" t="n"/>
      <c r="R9" s="182" t="n"/>
      <c r="S9" s="182" t="n"/>
      <c r="T9" s="182" t="n"/>
      <c r="U9" s="185" t="n"/>
      <c r="V9" s="185" t="n"/>
      <c r="W9" s="185" t="n"/>
      <c r="X9" s="182" t="n"/>
    </row>
    <row r="10" ht="15" customFormat="1" customHeight="1" s="187" thickBot="1">
      <c r="A10" s="186" t="n"/>
      <c r="B10" s="186" t="n"/>
      <c r="C10" s="452" t="inlineStr">
        <is>
          <t>OUTSIDE ACCEPTABLE DEVIATION.</t>
        </is>
      </c>
      <c r="D10" s="383" t="n"/>
      <c r="E10" s="383" t="n"/>
      <c r="F10" s="383" t="n"/>
      <c r="G10" s="383" t="n"/>
      <c r="H10" s="383" t="n"/>
      <c r="I10" s="383" t="n"/>
      <c r="J10" s="383" t="n"/>
      <c r="K10" s="383" t="n"/>
      <c r="L10" s="383" t="n"/>
      <c r="M10" s="383" t="n"/>
      <c r="N10" s="383" t="n"/>
      <c r="O10" s="383" t="n"/>
      <c r="P10" s="383" t="n"/>
      <c r="Q10" s="383" t="n"/>
      <c r="R10" s="383" t="n"/>
      <c r="S10" s="383" t="n"/>
      <c r="T10" s="383" t="n"/>
      <c r="U10" s="383" t="n"/>
      <c r="V10" s="384" t="n"/>
      <c r="X10" s="182" t="n"/>
    </row>
    <row r="11" ht="15" customFormat="1" customHeight="1" s="187" thickBot="1">
      <c r="A11" s="186" t="n"/>
      <c r="B11" s="186" t="n"/>
      <c r="C11" s="339" t="inlineStr">
        <is>
          <t>Channel Name</t>
        </is>
      </c>
      <c r="D11" s="384" t="n"/>
      <c r="E11" s="339" t="inlineStr">
        <is>
          <t>Position</t>
        </is>
      </c>
      <c r="F11" s="189" t="inlineStr">
        <is>
          <t>Acc Dev.</t>
        </is>
      </c>
      <c r="G11" s="339" t="inlineStr">
        <is>
          <t>Units</t>
        </is>
      </c>
      <c r="H11" s="453" t="inlineStr">
        <is>
          <t>Expected</t>
        </is>
      </c>
      <c r="I11" s="383" t="n"/>
      <c r="J11" s="383" t="n"/>
      <c r="K11" s="383" t="n"/>
      <c r="L11" s="384" t="n"/>
      <c r="M11" s="344" t="inlineStr">
        <is>
          <t>As Found</t>
        </is>
      </c>
      <c r="N11" s="383" t="n"/>
      <c r="O11" s="383" t="n"/>
      <c r="P11" s="383" t="n"/>
      <c r="Q11" s="384" t="n"/>
      <c r="R11" s="453" t="inlineStr">
        <is>
          <t>As Released</t>
        </is>
      </c>
      <c r="S11" s="383" t="n"/>
      <c r="T11" s="383" t="n"/>
      <c r="U11" s="383" t="n"/>
      <c r="V11" s="384" t="n"/>
      <c r="W11" s="186" t="n"/>
      <c r="X11" s="182" t="n"/>
    </row>
    <row r="12" ht="15" customFormat="1" customHeight="1" s="192" thickBot="1">
      <c r="A12" s="190" t="n"/>
      <c r="B12" s="190" t="n"/>
      <c r="C12" s="454" t="inlineStr">
        <is>
          <t>Pressure Channels - Acceptable Deviation : 0.2% full Scale. Adjust if error &gt;80% accepted tolerance.</t>
        </is>
      </c>
      <c r="D12" s="383" t="n"/>
      <c r="E12" s="383" t="n"/>
      <c r="F12" s="383" t="n"/>
      <c r="G12" s="383" t="n"/>
      <c r="H12" s="383" t="n"/>
      <c r="I12" s="383" t="n"/>
      <c r="J12" s="383" t="n"/>
      <c r="K12" s="383" t="n"/>
      <c r="L12" s="383" t="n"/>
      <c r="M12" s="383" t="n"/>
      <c r="N12" s="383" t="n"/>
      <c r="O12" s="383" t="n"/>
      <c r="P12" s="383" t="n"/>
      <c r="Q12" s="383" t="n"/>
      <c r="R12" s="383" t="n"/>
      <c r="S12" s="383" t="n"/>
      <c r="T12" s="383" t="n"/>
      <c r="U12" s="383" t="n"/>
      <c r="V12" s="384" t="n"/>
      <c r="W12" s="190" t="n"/>
      <c r="X12" s="191" t="n"/>
    </row>
    <row r="13" ht="15" customFormat="1" customHeight="1" s="187" thickBot="1">
      <c r="A13" s="186" t="n"/>
      <c r="B13" s="193" t="n">
        <v>1</v>
      </c>
      <c r="C13" s="377" t="inlineStr">
        <is>
          <t>PTX 1</t>
        </is>
      </c>
      <c r="D13" s="378" t="n"/>
      <c r="E13" s="194" t="n"/>
      <c r="F13" s="195" t="n">
        <v>0.04</v>
      </c>
      <c r="G13" s="196" t="inlineStr">
        <is>
          <t>kPa</t>
        </is>
      </c>
      <c r="H13" s="362" t="n">
        <v>-19.6</v>
      </c>
      <c r="I13" s="362" t="n">
        <v>-15</v>
      </c>
      <c r="J13" s="362" t="n">
        <v>-10</v>
      </c>
      <c r="K13" s="362" t="n">
        <v>-5</v>
      </c>
      <c r="L13" s="362" t="n">
        <v>0</v>
      </c>
      <c r="M13" s="363" t="n">
        <v>-19.7</v>
      </c>
      <c r="N13" s="363" t="n">
        <v>-15.17</v>
      </c>
      <c r="O13" s="363" t="n">
        <v>-10.11</v>
      </c>
      <c r="P13" s="363" t="n">
        <v>-5.08</v>
      </c>
      <c r="Q13" s="363" t="n">
        <v>0</v>
      </c>
      <c r="R13" s="362" t="n">
        <v>-19.6</v>
      </c>
      <c r="S13" s="362" t="n">
        <v>-14.99</v>
      </c>
      <c r="T13" s="362" t="n">
        <v>-9.99</v>
      </c>
      <c r="U13" s="362" t="n">
        <v>-5</v>
      </c>
      <c r="V13" s="362" t="n">
        <v>0</v>
      </c>
      <c r="W13" s="23" t="n"/>
      <c r="X13" s="182" t="n"/>
    </row>
    <row r="14" ht="15" customFormat="1" customHeight="1" s="187" thickBot="1">
      <c r="A14" s="186" t="n"/>
      <c r="B14" s="197" t="n">
        <v>2</v>
      </c>
      <c r="C14" s="377" t="inlineStr">
        <is>
          <t>PTX 2</t>
        </is>
      </c>
      <c r="D14" s="378" t="n"/>
      <c r="E14" s="194" t="n"/>
      <c r="F14" s="195" t="n">
        <v>0.04</v>
      </c>
      <c r="G14" s="196" t="inlineStr">
        <is>
          <t>kPa</t>
        </is>
      </c>
      <c r="H14" s="362" t="n">
        <v>-19.6</v>
      </c>
      <c r="I14" s="362" t="n">
        <v>-15</v>
      </c>
      <c r="J14" s="362" t="n">
        <v>-10</v>
      </c>
      <c r="K14" s="362" t="n">
        <v>-5</v>
      </c>
      <c r="L14" s="362" t="n">
        <v>0</v>
      </c>
      <c r="M14" s="363" t="n">
        <v>-19.7</v>
      </c>
      <c r="N14" s="363" t="n">
        <v>-15.12</v>
      </c>
      <c r="O14" s="363" t="n">
        <v>-10.12</v>
      </c>
      <c r="P14" s="363" t="n">
        <v>-5.05</v>
      </c>
      <c r="Q14" s="363" t="n">
        <v>0</v>
      </c>
      <c r="R14" s="362" t="n">
        <v>-19.6</v>
      </c>
      <c r="S14" s="362" t="n">
        <v>-14.99</v>
      </c>
      <c r="T14" s="362" t="n">
        <v>-10</v>
      </c>
      <c r="U14" s="362" t="n">
        <v>-4.99</v>
      </c>
      <c r="V14" s="362" t="n">
        <v>0.02</v>
      </c>
      <c r="W14" s="23" t="n"/>
      <c r="X14" s="182" t="n"/>
    </row>
    <row r="15" ht="15" customFormat="1" customHeight="1" s="187" thickBot="1">
      <c r="A15" s="184" t="n"/>
      <c r="B15" s="197" t="n">
        <v>3</v>
      </c>
      <c r="C15" s="377" t="inlineStr">
        <is>
          <t>PTX 3</t>
        </is>
      </c>
      <c r="D15" s="378" t="n"/>
      <c r="E15" s="194" t="n"/>
      <c r="F15" s="195" t="n">
        <v>0.04</v>
      </c>
      <c r="G15" s="196" t="inlineStr">
        <is>
          <t>kPa</t>
        </is>
      </c>
      <c r="H15" s="362" t="n">
        <v>-19.6</v>
      </c>
      <c r="I15" s="362" t="n">
        <v>-15</v>
      </c>
      <c r="J15" s="362" t="n">
        <v>-10</v>
      </c>
      <c r="K15" s="362" t="n">
        <v>-5</v>
      </c>
      <c r="L15" s="362" t="n">
        <v>0</v>
      </c>
      <c r="M15" s="363" t="n">
        <v>-19.64</v>
      </c>
      <c r="N15" s="363" t="n">
        <v>-15.11</v>
      </c>
      <c r="O15" s="363" t="n">
        <v>-9.98</v>
      </c>
      <c r="P15" s="363" t="n">
        <v>-4.907</v>
      </c>
      <c r="Q15" s="363" t="n">
        <v>0</v>
      </c>
      <c r="R15" s="362" t="n">
        <v>-19.59</v>
      </c>
      <c r="S15" s="362" t="n">
        <v>-15</v>
      </c>
      <c r="T15" s="362" t="n">
        <v>-9.99</v>
      </c>
      <c r="U15" s="362" t="n">
        <v>-5</v>
      </c>
      <c r="V15" s="362" t="n">
        <v>0</v>
      </c>
      <c r="W15" s="23" t="n"/>
      <c r="X15" s="182" t="n"/>
    </row>
    <row r="16" ht="15" customFormat="1" customHeight="1" s="187" thickBot="1">
      <c r="A16" s="182" t="n"/>
      <c r="B16" s="197" t="n">
        <v>4</v>
      </c>
      <c r="C16" s="377" t="inlineStr">
        <is>
          <t>PTX 4</t>
        </is>
      </c>
      <c r="D16" s="378" t="n"/>
      <c r="E16" s="194" t="n"/>
      <c r="F16" s="195" t="n">
        <v>0.04</v>
      </c>
      <c r="G16" s="196" t="inlineStr">
        <is>
          <t>kPa</t>
        </is>
      </c>
      <c r="H16" s="362" t="n">
        <v>-19.6</v>
      </c>
      <c r="I16" s="362" t="n">
        <v>-15</v>
      </c>
      <c r="J16" s="362" t="n">
        <v>-10</v>
      </c>
      <c r="K16" s="362" t="n">
        <v>-5</v>
      </c>
      <c r="L16" s="362" t="n">
        <v>0</v>
      </c>
      <c r="M16" s="363" t="n">
        <v>-19.66</v>
      </c>
      <c r="N16" s="363" t="n">
        <v>-14.99</v>
      </c>
      <c r="O16" s="363" t="n">
        <v>-9.880000000000001</v>
      </c>
      <c r="P16" s="363" t="n">
        <v>-4.9</v>
      </c>
      <c r="Q16" s="363" t="n">
        <v>0.08</v>
      </c>
      <c r="R16" s="362" t="n">
        <v>-19.59</v>
      </c>
      <c r="S16" s="362" t="n">
        <v>-14.99</v>
      </c>
      <c r="T16" s="362" t="n">
        <v>-9.970000000000001</v>
      </c>
      <c r="U16" s="362" t="n">
        <v>-4.99</v>
      </c>
      <c r="V16" s="362" t="n">
        <v>0</v>
      </c>
      <c r="W16" s="23" t="n"/>
      <c r="X16" s="182" t="n"/>
    </row>
    <row r="17" ht="15" customFormat="1" customHeight="1" s="187" thickBot="1">
      <c r="A17" s="184" t="n"/>
      <c r="B17" s="197" t="n">
        <v>5</v>
      </c>
      <c r="C17" s="377" t="inlineStr">
        <is>
          <t>PTX 16</t>
        </is>
      </c>
      <c r="D17" s="378" t="n"/>
      <c r="E17" s="194" t="n"/>
      <c r="F17" s="195" t="n">
        <v>0.14</v>
      </c>
      <c r="G17" s="196" t="inlineStr">
        <is>
          <t>kPa</t>
        </is>
      </c>
      <c r="H17" s="362" t="n">
        <v>-34.3</v>
      </c>
      <c r="I17" s="362" t="n">
        <v>-17.5</v>
      </c>
      <c r="J17" s="362" t="n">
        <v>0</v>
      </c>
      <c r="K17" s="362" t="n">
        <v>17.5</v>
      </c>
      <c r="L17" s="362" t="n">
        <v>34.3</v>
      </c>
      <c r="M17" s="363" t="n">
        <v>-34.42</v>
      </c>
      <c r="N17" s="363" t="n">
        <v>-17.65</v>
      </c>
      <c r="O17" s="363" t="n">
        <v>-0.16</v>
      </c>
      <c r="P17" s="363" t="n">
        <v>17.54</v>
      </c>
      <c r="Q17" s="363" t="n">
        <v>34.38</v>
      </c>
      <c r="R17" s="362" t="n">
        <v>-34.27</v>
      </c>
      <c r="S17" s="362" t="n">
        <v>-17.5</v>
      </c>
      <c r="T17" s="362" t="n">
        <v>0</v>
      </c>
      <c r="U17" s="362" t="n">
        <v>17.5</v>
      </c>
      <c r="V17" s="362" t="n">
        <v>34.31</v>
      </c>
      <c r="W17" s="23" t="n"/>
      <c r="X17" s="182" t="n"/>
    </row>
    <row r="18" ht="15" customFormat="1" customHeight="1" s="187" thickBot="1">
      <c r="A18" s="184" t="n"/>
      <c r="B18" s="197" t="n">
        <v>6</v>
      </c>
      <c r="C18" s="377" t="inlineStr">
        <is>
          <t>PTX 18</t>
        </is>
      </c>
      <c r="D18" s="378" t="n"/>
      <c r="E18" s="194" t="n"/>
      <c r="F18" s="195" t="n">
        <v>0.14</v>
      </c>
      <c r="G18" s="196" t="inlineStr">
        <is>
          <t>kPa</t>
        </is>
      </c>
      <c r="H18" s="362" t="n">
        <v>-34.3</v>
      </c>
      <c r="I18" s="362" t="n">
        <v>-17.5</v>
      </c>
      <c r="J18" s="362" t="n">
        <v>0</v>
      </c>
      <c r="K18" s="362" t="n">
        <v>17.5</v>
      </c>
      <c r="L18" s="362" t="n">
        <v>34.3</v>
      </c>
      <c r="M18" s="363" t="n">
        <v>-34.07</v>
      </c>
      <c r="N18" s="363" t="n">
        <v>-17.18</v>
      </c>
      <c r="O18" s="363" t="n">
        <v>0.45</v>
      </c>
      <c r="P18" s="363" t="n">
        <v>17.62</v>
      </c>
      <c r="Q18" s="363" t="n">
        <v>34.66</v>
      </c>
      <c r="R18" s="362" t="n">
        <v>-34.3</v>
      </c>
      <c r="S18" s="362" t="n">
        <v>-17.5</v>
      </c>
      <c r="T18" s="362" t="n">
        <v>0</v>
      </c>
      <c r="U18" s="362" t="n">
        <v>17.49</v>
      </c>
      <c r="V18" s="362" t="n">
        <v>34.3</v>
      </c>
      <c r="W18" s="23" t="n"/>
      <c r="X18" s="182" t="n"/>
    </row>
    <row r="19" ht="15" customFormat="1" customHeight="1" s="187" thickBot="1">
      <c r="A19" s="184" t="n"/>
      <c r="B19" s="197" t="n">
        <v>7</v>
      </c>
      <c r="C19" s="377" t="inlineStr">
        <is>
          <t>PTX 23</t>
        </is>
      </c>
      <c r="D19" s="378" t="n"/>
      <c r="E19" s="194" t="n"/>
      <c r="F19" s="195" t="n">
        <v>1.2</v>
      </c>
      <c r="G19" s="196" t="inlineStr">
        <is>
          <t>kPa</t>
        </is>
      </c>
      <c r="H19" s="362" t="n">
        <v>0</v>
      </c>
      <c r="I19" s="362" t="n">
        <v>150</v>
      </c>
      <c r="J19" s="362" t="n">
        <v>300</v>
      </c>
      <c r="K19" s="362" t="n">
        <v>450</v>
      </c>
      <c r="L19" s="362" t="n">
        <v>588</v>
      </c>
      <c r="M19" s="363" t="n">
        <v>0</v>
      </c>
      <c r="N19" s="363" t="n">
        <v>146.52</v>
      </c>
      <c r="O19" s="363" t="n">
        <v>296.78</v>
      </c>
      <c r="P19" s="363" t="n">
        <v>444.03</v>
      </c>
      <c r="Q19" s="363" t="n">
        <v>581.15</v>
      </c>
      <c r="R19" s="362" t="n">
        <v>0</v>
      </c>
      <c r="S19" s="362" t="n">
        <v>149.91</v>
      </c>
      <c r="T19" s="362" t="n">
        <v>300.04</v>
      </c>
      <c r="U19" s="362" t="n">
        <v>450.08</v>
      </c>
      <c r="V19" s="362" t="n">
        <v>587.87</v>
      </c>
      <c r="W19" s="23" t="n"/>
      <c r="X19" s="182" t="n"/>
    </row>
    <row r="20" ht="15" customFormat="1" customHeight="1" s="187" thickBot="1">
      <c r="A20" s="184" t="n"/>
      <c r="B20" s="197" t="n">
        <v>8</v>
      </c>
      <c r="C20" s="377" t="inlineStr">
        <is>
          <t>PTX 25</t>
        </is>
      </c>
      <c r="D20" s="378" t="n"/>
      <c r="E20" s="194" t="n"/>
      <c r="F20" s="195" t="n">
        <v>0.6</v>
      </c>
      <c r="G20" s="196" t="inlineStr">
        <is>
          <t>kPa</t>
        </is>
      </c>
      <c r="H20" s="362" t="n">
        <v>0</v>
      </c>
      <c r="I20" s="362" t="n">
        <v>75</v>
      </c>
      <c r="J20" s="362" t="n">
        <v>150</v>
      </c>
      <c r="K20" s="362" t="n">
        <v>225</v>
      </c>
      <c r="L20" s="362" t="n">
        <v>294</v>
      </c>
      <c r="M20" s="363" t="n">
        <v>0.01</v>
      </c>
      <c r="N20" s="363" t="n">
        <v>75.23999999999999</v>
      </c>
      <c r="O20" s="363" t="n">
        <v>150.45</v>
      </c>
      <c r="P20" s="363" t="n">
        <v>225.66</v>
      </c>
      <c r="Q20" s="363" t="n">
        <v>294.86</v>
      </c>
      <c r="R20" s="362" t="n">
        <v>-0.01</v>
      </c>
      <c r="S20" s="362" t="n">
        <v>74.95999999999999</v>
      </c>
      <c r="T20" s="362" t="n">
        <v>149.96</v>
      </c>
      <c r="U20" s="362" t="n">
        <v>225.01</v>
      </c>
      <c r="V20" s="362" t="n">
        <v>294.01</v>
      </c>
      <c r="W20" s="23" t="n"/>
      <c r="X20" s="182" t="n"/>
    </row>
    <row r="21" ht="15" customFormat="1" customHeight="1" s="187" thickBot="1">
      <c r="A21" s="184" t="n"/>
      <c r="B21" s="197" t="n">
        <v>9</v>
      </c>
      <c r="C21" s="377" t="inlineStr">
        <is>
          <t>PTX 29</t>
        </is>
      </c>
      <c r="D21" s="378" t="n"/>
      <c r="E21" s="194" t="n"/>
      <c r="F21" s="195" t="n">
        <v>1.2</v>
      </c>
      <c r="G21" s="196" t="inlineStr">
        <is>
          <t>kPa</t>
        </is>
      </c>
      <c r="H21" s="362" t="n">
        <v>0</v>
      </c>
      <c r="I21" s="362" t="n">
        <v>75</v>
      </c>
      <c r="J21" s="362" t="n">
        <v>150</v>
      </c>
      <c r="K21" s="362" t="n">
        <v>225</v>
      </c>
      <c r="L21" s="362" t="n">
        <v>294</v>
      </c>
      <c r="M21" s="363" t="n">
        <v>0</v>
      </c>
      <c r="N21" s="363" t="n">
        <v>75.11</v>
      </c>
      <c r="O21" s="363" t="n">
        <v>150.57</v>
      </c>
      <c r="P21" s="363" t="n">
        <v>225.67</v>
      </c>
      <c r="Q21" s="363" t="n">
        <v>294.55</v>
      </c>
      <c r="R21" s="362" t="n">
        <v>0</v>
      </c>
      <c r="S21" s="362" t="n">
        <v>74.98</v>
      </c>
      <c r="T21" s="362" t="n">
        <v>149.96</v>
      </c>
      <c r="U21" s="362" t="n">
        <v>224.96</v>
      </c>
      <c r="V21" s="362" t="n">
        <v>293.96</v>
      </c>
      <c r="W21" s="23" t="n"/>
      <c r="X21" s="182" t="n"/>
    </row>
    <row r="22" ht="15" customFormat="1" customHeight="1" s="187" thickBot="1">
      <c r="A22" s="184" t="n"/>
      <c r="B22" s="197" t="n">
        <v>10</v>
      </c>
      <c r="C22" s="377" t="inlineStr">
        <is>
          <t>PTX 30</t>
        </is>
      </c>
      <c r="D22" s="378" t="n"/>
      <c r="E22" s="194" t="n"/>
      <c r="F22" s="195" t="n">
        <v>1.2</v>
      </c>
      <c r="G22" s="196" t="inlineStr">
        <is>
          <t>kPa</t>
        </is>
      </c>
      <c r="H22" s="362" t="n">
        <v>0</v>
      </c>
      <c r="I22" s="362" t="n">
        <v>62.5</v>
      </c>
      <c r="J22" s="362" t="n">
        <v>125</v>
      </c>
      <c r="K22" s="362" t="n">
        <v>187.5</v>
      </c>
      <c r="L22" s="362" t="n">
        <v>245</v>
      </c>
      <c r="M22" s="363" t="n">
        <v>0.02</v>
      </c>
      <c r="N22" s="363" t="n">
        <v>62.3</v>
      </c>
      <c r="O22" s="363" t="n">
        <v>124.8</v>
      </c>
      <c r="P22" s="363" t="n">
        <v>186</v>
      </c>
      <c r="Q22" s="363" t="n">
        <v>244.8</v>
      </c>
      <c r="R22" s="362" t="n">
        <v>0.01</v>
      </c>
      <c r="S22" s="362" t="n">
        <v>62.45</v>
      </c>
      <c r="T22" s="362" t="n">
        <v>124.95</v>
      </c>
      <c r="U22" s="362" t="n">
        <v>187.45</v>
      </c>
      <c r="V22" s="362" t="n">
        <v>244.98</v>
      </c>
      <c r="W22" s="23" t="n"/>
      <c r="X22" s="182" t="n"/>
    </row>
    <row r="23" ht="15" customFormat="1" customHeight="1" s="187" thickBot="1">
      <c r="A23" s="184" t="n"/>
      <c r="B23" s="197" t="n">
        <v>11</v>
      </c>
      <c r="C23" s="377" t="inlineStr">
        <is>
          <t>PTX 41</t>
        </is>
      </c>
      <c r="D23" s="378" t="n"/>
      <c r="E23" s="194" t="n"/>
      <c r="F23" s="195" t="n">
        <v>0.04</v>
      </c>
      <c r="G23" s="196" t="inlineStr">
        <is>
          <t>kPa</t>
        </is>
      </c>
      <c r="H23" s="362" t="n">
        <v>-19.6</v>
      </c>
      <c r="I23" s="362" t="n">
        <v>-15</v>
      </c>
      <c r="J23" s="362" t="n">
        <v>-10</v>
      </c>
      <c r="K23" s="362" t="n">
        <v>-5</v>
      </c>
      <c r="L23" s="362" t="n">
        <v>0</v>
      </c>
      <c r="M23" s="363" t="n">
        <v>-19.69</v>
      </c>
      <c r="N23" s="363" t="n">
        <v>-15.05</v>
      </c>
      <c r="O23" s="363" t="n">
        <v>-9.99</v>
      </c>
      <c r="P23" s="363" t="n">
        <v>-4.97</v>
      </c>
      <c r="Q23" s="363" t="n">
        <v>0.06</v>
      </c>
      <c r="R23" s="362" t="n">
        <v>-19.59</v>
      </c>
      <c r="S23" s="362" t="n">
        <v>-14.99</v>
      </c>
      <c r="T23" s="362" t="n">
        <v>-10</v>
      </c>
      <c r="U23" s="362" t="n">
        <v>-5</v>
      </c>
      <c r="V23" s="362" t="n">
        <v>0</v>
      </c>
      <c r="W23" s="23" t="n"/>
      <c r="X23" s="182" t="n"/>
    </row>
    <row r="24" ht="15" customFormat="1" customHeight="1" s="187" thickBot="1">
      <c r="A24" s="184" t="n"/>
      <c r="B24" s="197" t="n">
        <v>12</v>
      </c>
      <c r="C24" s="377" t="inlineStr">
        <is>
          <t>PTX 42</t>
        </is>
      </c>
      <c r="D24" s="378" t="n"/>
      <c r="E24" s="194" t="n"/>
      <c r="F24" s="195" t="n">
        <v>0.04</v>
      </c>
      <c r="G24" s="196" t="inlineStr">
        <is>
          <t>kPa</t>
        </is>
      </c>
      <c r="H24" s="362" t="n">
        <v>-19.6</v>
      </c>
      <c r="I24" s="362" t="n">
        <v>-15</v>
      </c>
      <c r="J24" s="362" t="n">
        <v>-10</v>
      </c>
      <c r="K24" s="362" t="n">
        <v>-5</v>
      </c>
      <c r="L24" s="362" t="n">
        <v>0</v>
      </c>
      <c r="M24" s="363" t="n">
        <v>-19.69</v>
      </c>
      <c r="N24" s="363" t="n">
        <v>-15.03</v>
      </c>
      <c r="O24" s="363" t="n">
        <v>-9.960000000000001</v>
      </c>
      <c r="P24" s="363" t="n">
        <v>-4.96</v>
      </c>
      <c r="Q24" s="363" t="n">
        <v>0.04</v>
      </c>
      <c r="R24" s="362" t="n">
        <v>-19.59</v>
      </c>
      <c r="S24" s="362" t="n">
        <v>-14.99</v>
      </c>
      <c r="T24" s="362" t="n">
        <v>-9.99</v>
      </c>
      <c r="U24" s="362" t="n">
        <v>-5</v>
      </c>
      <c r="V24" s="362" t="n">
        <v>0</v>
      </c>
      <c r="W24" s="23" t="n"/>
      <c r="X24" s="182" t="n"/>
    </row>
    <row r="25" ht="15" customFormat="1" customHeight="1" s="187" thickBot="1">
      <c r="A25" s="184" t="n"/>
      <c r="B25" s="197" t="n">
        <v>13</v>
      </c>
      <c r="C25" s="377" t="inlineStr">
        <is>
          <t>PTX 43</t>
        </is>
      </c>
      <c r="D25" s="378" t="n"/>
      <c r="E25" s="194" t="n"/>
      <c r="F25" s="195" t="n">
        <v>0.04</v>
      </c>
      <c r="G25" s="196" t="inlineStr">
        <is>
          <t>kPa</t>
        </is>
      </c>
      <c r="H25" s="362" t="n">
        <v>-19.6</v>
      </c>
      <c r="I25" s="362" t="n">
        <v>-15</v>
      </c>
      <c r="J25" s="362" t="n">
        <v>-10</v>
      </c>
      <c r="K25" s="362" t="n">
        <v>-5</v>
      </c>
      <c r="L25" s="362" t="n">
        <v>0</v>
      </c>
      <c r="M25" s="363" t="n">
        <v>-19.7</v>
      </c>
      <c r="N25" s="363" t="n">
        <v>-15.11</v>
      </c>
      <c r="O25" s="363" t="n">
        <v>-10.06</v>
      </c>
      <c r="P25" s="363" t="n">
        <v>-5.05</v>
      </c>
      <c r="Q25" s="363" t="n">
        <v>0.12</v>
      </c>
      <c r="R25" s="362" t="n">
        <v>-19.6</v>
      </c>
      <c r="S25" s="362" t="n">
        <v>-15</v>
      </c>
      <c r="T25" s="362" t="n">
        <v>-9.99</v>
      </c>
      <c r="U25" s="362" t="n">
        <v>-5</v>
      </c>
      <c r="V25" s="362" t="n">
        <v>0</v>
      </c>
      <c r="W25" s="23" t="n"/>
      <c r="X25" s="182" t="n"/>
    </row>
    <row r="26" ht="15" customFormat="1" customHeight="1" s="187" thickBot="1">
      <c r="A26" s="184" t="n"/>
      <c r="B26" s="197" t="n">
        <v>14</v>
      </c>
      <c r="C26" s="377" t="inlineStr">
        <is>
          <t>PTX 44</t>
        </is>
      </c>
      <c r="D26" s="378" t="n"/>
      <c r="E26" s="194" t="n"/>
      <c r="F26" s="195" t="n">
        <v>0.04</v>
      </c>
      <c r="G26" s="196" t="inlineStr">
        <is>
          <t>kPa</t>
        </is>
      </c>
      <c r="H26" s="362" t="n">
        <v>-19.6</v>
      </c>
      <c r="I26" s="362" t="n">
        <v>-15</v>
      </c>
      <c r="J26" s="362" t="n">
        <v>-10</v>
      </c>
      <c r="K26" s="362" t="n">
        <v>-5</v>
      </c>
      <c r="L26" s="362" t="n">
        <v>0</v>
      </c>
      <c r="M26" s="363" t="n">
        <v>-19.69</v>
      </c>
      <c r="N26" s="363" t="n">
        <v>-14.93</v>
      </c>
      <c r="O26" s="363" t="n">
        <v>-9.91</v>
      </c>
      <c r="P26" s="363" t="n">
        <v>-4.99</v>
      </c>
      <c r="Q26" s="363" t="n">
        <v>0.07000000000000001</v>
      </c>
      <c r="R26" s="362" t="n">
        <v>-19.63</v>
      </c>
      <c r="S26" s="362" t="n">
        <v>-15</v>
      </c>
      <c r="T26" s="362" t="n">
        <v>-9.99</v>
      </c>
      <c r="U26" s="362" t="n">
        <v>-5</v>
      </c>
      <c r="V26" s="362" t="n">
        <v>0</v>
      </c>
      <c r="W26" s="23" t="n"/>
      <c r="X26" s="182" t="n"/>
    </row>
    <row r="27" ht="15" customFormat="1" customHeight="1" s="187" thickBot="1">
      <c r="A27" s="184" t="n"/>
      <c r="B27" s="197" t="n">
        <v>15</v>
      </c>
      <c r="C27" s="377" t="inlineStr">
        <is>
          <t>PTX 46</t>
        </is>
      </c>
      <c r="D27" s="378" t="n"/>
      <c r="E27" s="194" t="n"/>
      <c r="F27" s="195" t="n">
        <v>1.2</v>
      </c>
      <c r="G27" s="196" t="inlineStr">
        <is>
          <t>kPa</t>
        </is>
      </c>
      <c r="H27" s="362" t="n">
        <v>0</v>
      </c>
      <c r="I27" s="362" t="n">
        <v>150</v>
      </c>
      <c r="J27" s="362" t="n">
        <v>300</v>
      </c>
      <c r="K27" s="362" t="n">
        <v>450</v>
      </c>
      <c r="L27" s="362" t="n">
        <v>588</v>
      </c>
      <c r="M27" s="363" t="n">
        <v>0</v>
      </c>
      <c r="N27" s="363" t="n">
        <v>148.11</v>
      </c>
      <c r="O27" s="363" t="n">
        <v>298.91</v>
      </c>
      <c r="P27" s="363" t="n">
        <v>446.55</v>
      </c>
      <c r="Q27" s="363" t="n">
        <v>577.55</v>
      </c>
      <c r="R27" s="362" t="n">
        <v>0</v>
      </c>
      <c r="S27" s="362" t="n">
        <v>150.03</v>
      </c>
      <c r="T27" s="362" t="n">
        <v>299.96</v>
      </c>
      <c r="U27" s="362" t="n">
        <v>450</v>
      </c>
      <c r="V27" s="362" t="n">
        <v>587.92</v>
      </c>
      <c r="W27" s="23" t="n"/>
      <c r="X27" s="182" t="n"/>
    </row>
    <row r="28" ht="15" customFormat="1" customHeight="1" s="187" thickBot="1">
      <c r="A28" s="184" t="n"/>
      <c r="B28" s="197" t="n">
        <v>16</v>
      </c>
      <c r="C28" s="377" t="inlineStr">
        <is>
          <t>PTX 48</t>
        </is>
      </c>
      <c r="D28" s="378" t="n"/>
      <c r="E28" s="194" t="n"/>
      <c r="F28" s="195" t="n">
        <v>5</v>
      </c>
      <c r="G28" s="196" t="inlineStr">
        <is>
          <t>kPa</t>
        </is>
      </c>
      <c r="H28" s="362" t="n">
        <v>0</v>
      </c>
      <c r="I28" s="362" t="n">
        <v>625</v>
      </c>
      <c r="J28" s="362" t="n">
        <v>1250</v>
      </c>
      <c r="K28" s="362" t="n">
        <v>1875</v>
      </c>
      <c r="L28" s="362" t="n">
        <v>2450</v>
      </c>
      <c r="M28" s="363" t="n">
        <v>0</v>
      </c>
      <c r="N28" s="363" t="n">
        <v>638</v>
      </c>
      <c r="O28" s="363" t="n">
        <v>1236.7</v>
      </c>
      <c r="P28" s="363" t="n">
        <v>1864.8</v>
      </c>
      <c r="Q28" s="363" t="n">
        <v>2431.5</v>
      </c>
      <c r="R28" s="362" t="n">
        <v>0</v>
      </c>
      <c r="S28" s="362" t="n">
        <v>624.83</v>
      </c>
      <c r="T28" s="362" t="n">
        <v>1249.84</v>
      </c>
      <c r="U28" s="362" t="n">
        <v>1875</v>
      </c>
      <c r="V28" s="362" t="n">
        <v>2449.84</v>
      </c>
      <c r="W28" s="23" t="n"/>
      <c r="X28" s="182" t="n"/>
    </row>
    <row r="29" ht="15" customFormat="1" customHeight="1" s="187" thickBot="1">
      <c r="A29" s="184" t="n"/>
      <c r="B29" s="197" t="n">
        <v>17</v>
      </c>
      <c r="C29" s="377" t="inlineStr">
        <is>
          <t>PTX 52</t>
        </is>
      </c>
      <c r="D29" s="378" t="n"/>
      <c r="E29" s="194" t="n"/>
      <c r="F29" s="195" t="n">
        <v>0.14</v>
      </c>
      <c r="G29" s="196" t="inlineStr">
        <is>
          <t>kPa</t>
        </is>
      </c>
      <c r="H29" s="362" t="n">
        <v>-34.3</v>
      </c>
      <c r="I29" s="362" t="n">
        <v>-17.5</v>
      </c>
      <c r="J29" s="362" t="n">
        <v>0</v>
      </c>
      <c r="K29" s="362" t="n">
        <v>17.5</v>
      </c>
      <c r="L29" s="362" t="n">
        <v>34.3</v>
      </c>
      <c r="M29" s="363" t="n">
        <v>-34.28</v>
      </c>
      <c r="N29" s="363" t="n">
        <v>-17.41</v>
      </c>
      <c r="O29" s="363" t="n">
        <v>0.17</v>
      </c>
      <c r="P29" s="363" t="n">
        <v>17.72</v>
      </c>
      <c r="Q29" s="363" t="n">
        <v>34.44</v>
      </c>
      <c r="R29" s="362" t="n">
        <v>-34.29</v>
      </c>
      <c r="S29" s="362" t="n">
        <v>-17.5</v>
      </c>
      <c r="T29" s="362" t="n">
        <v>0</v>
      </c>
      <c r="U29" s="362" t="n">
        <v>17.49</v>
      </c>
      <c r="V29" s="362" t="n">
        <v>34.29</v>
      </c>
      <c r="W29" s="23" t="n"/>
      <c r="X29" s="182" t="n"/>
    </row>
    <row r="30" ht="15" customFormat="1" customHeight="1" s="187" thickBot="1">
      <c r="A30" s="184" t="n"/>
      <c r="B30" s="197" t="n">
        <v>18</v>
      </c>
      <c r="C30" s="377" t="inlineStr">
        <is>
          <t>PTX 53</t>
        </is>
      </c>
      <c r="D30" s="378" t="n"/>
      <c r="E30" s="194" t="n"/>
      <c r="F30" s="195" t="n">
        <v>0.14</v>
      </c>
      <c r="G30" s="196" t="inlineStr">
        <is>
          <t>kPa</t>
        </is>
      </c>
      <c r="H30" s="362" t="n">
        <v>-34.3</v>
      </c>
      <c r="I30" s="362" t="n">
        <v>-17.5</v>
      </c>
      <c r="J30" s="362" t="n">
        <v>0</v>
      </c>
      <c r="K30" s="362" t="n">
        <v>17.5</v>
      </c>
      <c r="L30" s="362" t="n">
        <v>34.3</v>
      </c>
      <c r="M30" s="363" t="n">
        <v>-35</v>
      </c>
      <c r="N30" s="363" t="n">
        <v>-17.3</v>
      </c>
      <c r="O30" s="363" t="n">
        <v>0.03</v>
      </c>
      <c r="P30" s="363" t="n">
        <v>17.55</v>
      </c>
      <c r="Q30" s="363" t="n">
        <v>34.3</v>
      </c>
      <c r="R30" s="362" t="n">
        <v>-34.3</v>
      </c>
      <c r="S30" s="362" t="n">
        <v>-17.49</v>
      </c>
      <c r="T30" s="362" t="n">
        <v>0</v>
      </c>
      <c r="U30" s="362" t="n">
        <v>17.5</v>
      </c>
      <c r="V30" s="362" t="n">
        <v>34.3</v>
      </c>
      <c r="W30" s="23" t="n"/>
      <c r="X30" s="182" t="n"/>
    </row>
    <row r="31" ht="15" customFormat="1" customHeight="1" s="187" thickBot="1">
      <c r="A31" s="184" t="n"/>
      <c r="B31" s="197" t="n">
        <v>19</v>
      </c>
      <c r="C31" s="377" t="inlineStr">
        <is>
          <t>PTX 54</t>
        </is>
      </c>
      <c r="D31" s="378" t="n"/>
      <c r="E31" s="194" t="n"/>
      <c r="F31" s="195" t="n">
        <v>1.2</v>
      </c>
      <c r="G31" s="196" t="inlineStr">
        <is>
          <t>kPa</t>
        </is>
      </c>
      <c r="H31" s="362" t="n">
        <v>0</v>
      </c>
      <c r="I31" s="362" t="n">
        <v>150</v>
      </c>
      <c r="J31" s="362" t="n">
        <v>300</v>
      </c>
      <c r="K31" s="362" t="n">
        <v>450</v>
      </c>
      <c r="L31" s="362" t="n">
        <v>588</v>
      </c>
      <c r="M31" s="363" t="n">
        <v>0</v>
      </c>
      <c r="N31" s="363" t="n">
        <v>147.6</v>
      </c>
      <c r="O31" s="363" t="n">
        <v>300.3</v>
      </c>
      <c r="P31" s="363" t="n">
        <v>450.3</v>
      </c>
      <c r="Q31" s="363" t="n">
        <v>588.34</v>
      </c>
      <c r="R31" s="362" t="n">
        <v>0</v>
      </c>
      <c r="S31" s="362" t="n">
        <v>149.95</v>
      </c>
      <c r="T31" s="362" t="n">
        <v>299.92</v>
      </c>
      <c r="U31" s="362" t="n">
        <v>449.96</v>
      </c>
      <c r="V31" s="362" t="n">
        <v>588</v>
      </c>
      <c r="W31" s="23" t="n"/>
      <c r="X31" s="182" t="n"/>
    </row>
    <row r="32" ht="15" customFormat="1" customHeight="1" s="187" thickBot="1">
      <c r="A32" s="184" t="n"/>
      <c r="B32" s="197" t="n">
        <v>20</v>
      </c>
      <c r="C32" s="377" t="inlineStr">
        <is>
          <t>PTX 56</t>
        </is>
      </c>
      <c r="D32" s="378" t="n"/>
      <c r="E32" s="194" t="n"/>
      <c r="F32" s="195" t="n">
        <v>1.2</v>
      </c>
      <c r="G32" s="196" t="inlineStr">
        <is>
          <t>kPa</t>
        </is>
      </c>
      <c r="H32" s="362" t="n">
        <v>0</v>
      </c>
      <c r="I32" s="362" t="n">
        <v>150</v>
      </c>
      <c r="J32" s="362" t="n">
        <v>300</v>
      </c>
      <c r="K32" s="362" t="n">
        <v>450</v>
      </c>
      <c r="L32" s="362" t="n">
        <v>588</v>
      </c>
      <c r="M32" s="363" t="n">
        <v>0</v>
      </c>
      <c r="N32" s="363" t="n">
        <v>147.92</v>
      </c>
      <c r="O32" s="363" t="n">
        <v>298.23</v>
      </c>
      <c r="P32" s="363" t="n">
        <v>448.59</v>
      </c>
      <c r="Q32" s="363" t="n">
        <v>586.9400000000001</v>
      </c>
      <c r="R32" s="362" t="n">
        <v>0</v>
      </c>
      <c r="S32" s="362" t="n">
        <v>150</v>
      </c>
      <c r="T32" s="362" t="n">
        <v>300.03</v>
      </c>
      <c r="U32" s="362" t="n">
        <v>450</v>
      </c>
      <c r="V32" s="362" t="n">
        <v>588</v>
      </c>
      <c r="W32" s="23" t="n"/>
      <c r="X32" s="182" t="n"/>
    </row>
    <row r="33" ht="15" customFormat="1" customHeight="1" s="187" thickBot="1">
      <c r="A33" s="184" t="n"/>
      <c r="B33" s="197" t="n">
        <v>21</v>
      </c>
      <c r="C33" s="377" t="inlineStr">
        <is>
          <t>PTX 58</t>
        </is>
      </c>
      <c r="D33" s="378" t="n"/>
      <c r="E33" s="198" t="n"/>
      <c r="F33" s="195" t="n">
        <v>0.14</v>
      </c>
      <c r="G33" s="196" t="inlineStr">
        <is>
          <t>kPa</t>
        </is>
      </c>
      <c r="H33" s="362" t="n">
        <v>0</v>
      </c>
      <c r="I33" s="362" t="n">
        <v>150</v>
      </c>
      <c r="J33" s="362" t="n">
        <v>300</v>
      </c>
      <c r="K33" s="362" t="n">
        <v>450</v>
      </c>
      <c r="L33" s="362" t="n">
        <v>588</v>
      </c>
      <c r="M33" s="363" t="n">
        <v>-1.21</v>
      </c>
      <c r="N33" s="363" t="n">
        <v>148.95</v>
      </c>
      <c r="O33" s="363" t="n">
        <v>299.08</v>
      </c>
      <c r="P33" s="363" t="n">
        <v>449.29</v>
      </c>
      <c r="Q33" s="363" t="n">
        <v>587.38</v>
      </c>
      <c r="R33" s="362" t="n">
        <v>0.03</v>
      </c>
      <c r="S33" s="362" t="n">
        <v>149.96</v>
      </c>
      <c r="T33" s="362" t="n">
        <v>299.96</v>
      </c>
      <c r="U33" s="362" t="n">
        <v>450</v>
      </c>
      <c r="V33" s="362" t="n">
        <v>588.03</v>
      </c>
      <c r="W33" s="23" t="n"/>
      <c r="X33" s="182" t="n"/>
    </row>
    <row r="34" ht="15" customFormat="1" customHeight="1" s="187" thickBot="1">
      <c r="A34" s="184" t="n"/>
      <c r="B34" s="197" t="n">
        <v>22</v>
      </c>
      <c r="C34" s="377" t="inlineStr">
        <is>
          <t>PTX 59</t>
        </is>
      </c>
      <c r="D34" s="378" t="n"/>
      <c r="E34" s="194" t="n"/>
      <c r="F34" s="195" t="n">
        <v>0.67</v>
      </c>
      <c r="G34" s="196" t="inlineStr">
        <is>
          <t>kPa</t>
        </is>
      </c>
      <c r="H34" s="362" t="n">
        <v>-34.3</v>
      </c>
      <c r="I34" s="362" t="n">
        <v>0</v>
      </c>
      <c r="J34" s="362" t="n">
        <v>99</v>
      </c>
      <c r="K34" s="362" t="n">
        <v>198</v>
      </c>
      <c r="L34" s="362" t="n">
        <v>294</v>
      </c>
      <c r="M34" s="363" t="n">
        <v>-34.28</v>
      </c>
      <c r="N34" s="363" t="n">
        <v>0</v>
      </c>
      <c r="O34" s="363" t="n">
        <v>99.03</v>
      </c>
      <c r="P34" s="363" t="n">
        <v>198.12</v>
      </c>
      <c r="Q34" s="363" t="n">
        <v>295.12</v>
      </c>
      <c r="R34" s="362" t="n">
        <v>-34.32</v>
      </c>
      <c r="S34" s="362" t="n">
        <v>-0.02</v>
      </c>
      <c r="T34" s="362" t="n">
        <v>98.95</v>
      </c>
      <c r="U34" s="362" t="n">
        <v>198.97</v>
      </c>
      <c r="V34" s="362" t="n">
        <v>294</v>
      </c>
      <c r="W34" s="23" t="n"/>
      <c r="X34" s="182" t="n"/>
    </row>
    <row r="35" ht="15" customFormat="1" customHeight="1" s="187" thickBot="1">
      <c r="A35" s="184" t="n"/>
      <c r="B35" s="197" t="n">
        <v>23</v>
      </c>
      <c r="C35" s="377" t="inlineStr">
        <is>
          <t>PTX 61</t>
        </is>
      </c>
      <c r="D35" s="378" t="n"/>
      <c r="E35" s="194" t="n"/>
      <c r="F35" s="195" t="n">
        <v>0.6</v>
      </c>
      <c r="G35" s="196" t="inlineStr">
        <is>
          <t>kPa</t>
        </is>
      </c>
      <c r="H35" s="362" t="n">
        <v>0</v>
      </c>
      <c r="I35" s="362" t="n">
        <v>75</v>
      </c>
      <c r="J35" s="362" t="n">
        <v>150</v>
      </c>
      <c r="K35" s="362" t="n">
        <v>225</v>
      </c>
      <c r="L35" s="362" t="n">
        <v>294</v>
      </c>
      <c r="M35" s="363" t="n">
        <v>-0.22</v>
      </c>
      <c r="N35" s="363" t="n">
        <v>74.83</v>
      </c>
      <c r="O35" s="363" t="n">
        <v>149.86</v>
      </c>
      <c r="P35" s="363" t="n">
        <v>226.23</v>
      </c>
      <c r="Q35" s="363" t="n">
        <v>298.92</v>
      </c>
      <c r="R35" s="362" t="n">
        <v>-0.01</v>
      </c>
      <c r="S35" s="362" t="n">
        <v>74.95999999999999</v>
      </c>
      <c r="T35" s="362" t="n">
        <v>149.96</v>
      </c>
      <c r="U35" s="362" t="n">
        <v>224.98</v>
      </c>
      <c r="V35" s="362" t="n">
        <v>294</v>
      </c>
      <c r="W35" s="23" t="n"/>
      <c r="X35" s="182" t="n"/>
    </row>
    <row r="36" ht="15" customFormat="1" customHeight="1" s="187" thickBot="1">
      <c r="A36" s="184" t="n"/>
      <c r="B36" s="197" t="n">
        <v>24</v>
      </c>
      <c r="C36" s="377" t="inlineStr">
        <is>
          <t>PTX 67</t>
        </is>
      </c>
      <c r="D36" s="378" t="n"/>
      <c r="E36" s="194" t="n"/>
      <c r="F36" s="195" t="n">
        <v>0.5</v>
      </c>
      <c r="G36" s="196" t="inlineStr">
        <is>
          <t>kPa</t>
        </is>
      </c>
      <c r="H36" s="362" t="n">
        <v>0</v>
      </c>
      <c r="I36" s="362" t="n">
        <v>62.5</v>
      </c>
      <c r="J36" s="362" t="n">
        <v>125</v>
      </c>
      <c r="K36" s="362" t="n">
        <v>187.5</v>
      </c>
      <c r="L36" s="362" t="n">
        <v>245</v>
      </c>
      <c r="M36" s="363" t="n">
        <v>0</v>
      </c>
      <c r="N36" s="363" t="n">
        <v>62.5</v>
      </c>
      <c r="O36" s="363" t="n">
        <v>125.42</v>
      </c>
      <c r="P36" s="363" t="n">
        <v>187.98</v>
      </c>
      <c r="Q36" s="363" t="n">
        <v>245.49</v>
      </c>
      <c r="R36" s="362" t="n">
        <v>0</v>
      </c>
      <c r="S36" s="362" t="n">
        <v>62.46</v>
      </c>
      <c r="T36" s="362" t="n">
        <v>124.96</v>
      </c>
      <c r="U36" s="362" t="n">
        <v>187.46</v>
      </c>
      <c r="V36" s="362" t="n">
        <v>244.98</v>
      </c>
      <c r="W36" s="23" t="n"/>
      <c r="X36" s="182" t="n"/>
    </row>
    <row r="37" ht="15" customFormat="1" customHeight="1" s="187" thickBot="1">
      <c r="A37" s="184" t="n"/>
      <c r="B37" s="197" t="n">
        <v>25</v>
      </c>
      <c r="C37" s="377" t="inlineStr">
        <is>
          <t>PTX 68</t>
        </is>
      </c>
      <c r="D37" s="378" t="n"/>
      <c r="E37" s="194" t="n"/>
      <c r="F37" s="195" t="n">
        <v>0.6</v>
      </c>
      <c r="G37" s="196" t="inlineStr">
        <is>
          <t>kPa</t>
        </is>
      </c>
      <c r="H37" s="362" t="n">
        <v>0</v>
      </c>
      <c r="I37" s="362" t="n">
        <v>75</v>
      </c>
      <c r="J37" s="362" t="n">
        <v>150</v>
      </c>
      <c r="K37" s="362" t="n">
        <v>225</v>
      </c>
      <c r="L37" s="362" t="n">
        <v>294</v>
      </c>
      <c r="M37" s="363" t="n">
        <v>-0.16</v>
      </c>
      <c r="N37" s="363" t="n">
        <v>74.90000000000001</v>
      </c>
      <c r="O37" s="363" t="n">
        <v>149.89</v>
      </c>
      <c r="P37" s="363" t="n">
        <v>225.41</v>
      </c>
      <c r="Q37" s="363" t="n">
        <v>295.87</v>
      </c>
      <c r="R37" s="362" t="n">
        <v>0</v>
      </c>
      <c r="S37" s="362" t="n">
        <v>75</v>
      </c>
      <c r="T37" s="362" t="n">
        <v>150.01</v>
      </c>
      <c r="U37" s="362" t="n">
        <v>225.01</v>
      </c>
      <c r="V37" s="362" t="n">
        <v>294.03</v>
      </c>
      <c r="W37" s="23" t="n"/>
      <c r="X37" s="182" t="n"/>
    </row>
    <row r="38" ht="15" customFormat="1" customHeight="1" s="187" thickBot="1">
      <c r="A38" s="184" t="n"/>
      <c r="B38" s="364" t="n">
        <v>26</v>
      </c>
      <c r="C38" s="377" t="inlineStr">
        <is>
          <t>PTX 69</t>
        </is>
      </c>
      <c r="D38" s="378" t="n"/>
      <c r="E38" s="194" t="n"/>
      <c r="F38" s="195" t="n">
        <v>2</v>
      </c>
      <c r="G38" s="196" t="inlineStr">
        <is>
          <t>kPa</t>
        </is>
      </c>
      <c r="H38" s="362" t="n">
        <v>-80</v>
      </c>
      <c r="I38" s="362" t="n">
        <v>0</v>
      </c>
      <c r="J38" s="362" t="n">
        <v>297</v>
      </c>
      <c r="K38" s="362" t="n">
        <v>594</v>
      </c>
      <c r="L38" s="362" t="n">
        <v>882</v>
      </c>
      <c r="M38" s="363" t="n">
        <v>-80.81</v>
      </c>
      <c r="N38" s="363" t="n">
        <v>-1.51</v>
      </c>
      <c r="O38" s="363" t="n">
        <v>293.51</v>
      </c>
      <c r="P38" s="363" t="n">
        <v>589.22</v>
      </c>
      <c r="Q38" s="363" t="n">
        <v>876.75</v>
      </c>
      <c r="R38" s="362" t="n">
        <v>-80</v>
      </c>
      <c r="S38" s="362" t="n">
        <v>0</v>
      </c>
      <c r="T38" s="362" t="n">
        <v>297</v>
      </c>
      <c r="U38" s="362" t="n">
        <v>593.9299999999999</v>
      </c>
      <c r="V38" s="362" t="n">
        <v>881.9299999999999</v>
      </c>
      <c r="W38" s="23" t="n"/>
      <c r="X38" s="182" t="n"/>
    </row>
    <row r="39" ht="16" customFormat="1" customHeight="1" s="192" thickBot="1">
      <c r="A39" s="199" t="n"/>
      <c r="B39" s="200" t="n"/>
      <c r="C39" s="454" t="inlineStr">
        <is>
          <t>Low Temperature Channels -  Acceptable Deviation : +/- 0.5°C Adjust if error &gt;0.3°C.</t>
        </is>
      </c>
      <c r="D39" s="383" t="n"/>
      <c r="E39" s="383" t="n"/>
      <c r="F39" s="383" t="n"/>
      <c r="G39" s="383" t="n"/>
      <c r="H39" s="383" t="n"/>
      <c r="I39" s="383" t="n"/>
      <c r="J39" s="383" t="n"/>
      <c r="K39" s="383" t="n"/>
      <c r="L39" s="383" t="n"/>
      <c r="M39" s="383" t="n"/>
      <c r="N39" s="383" t="n"/>
      <c r="O39" s="383" t="n"/>
      <c r="P39" s="383" t="n"/>
      <c r="Q39" s="383" t="n"/>
      <c r="R39" s="383" t="n"/>
      <c r="S39" s="383" t="n"/>
      <c r="T39" s="383" t="n"/>
      <c r="U39" s="383" t="n"/>
      <c r="V39" s="384" t="n"/>
      <c r="W39" s="201" t="n"/>
      <c r="X39" s="191" t="n"/>
    </row>
    <row r="40" ht="15" customFormat="1" customHeight="1" s="187" thickBot="1">
      <c r="A40" s="184" t="n"/>
      <c r="B40" s="197" t="n">
        <v>1</v>
      </c>
      <c r="C40" s="377" t="inlineStr">
        <is>
          <t>PRT T84</t>
        </is>
      </c>
      <c r="D40" s="378" t="n"/>
      <c r="E40" s="202" t="n"/>
      <c r="F40" s="203" t="inlineStr">
        <is>
          <t>±0.5</t>
        </is>
      </c>
      <c r="G40" s="204" t="inlineStr">
        <is>
          <t>°C</t>
        </is>
      </c>
      <c r="H40" s="362" t="n">
        <v>20</v>
      </c>
      <c r="I40" s="362" t="n">
        <v>55</v>
      </c>
      <c r="J40" s="362" t="n">
        <v>90</v>
      </c>
      <c r="K40" s="362" t="n">
        <v>115</v>
      </c>
      <c r="L40" s="362" t="n">
        <v>150</v>
      </c>
      <c r="M40" s="363" t="n">
        <v>19.93</v>
      </c>
      <c r="N40" s="363" t="n">
        <v>54.89</v>
      </c>
      <c r="O40" s="363" t="n">
        <v>89.8</v>
      </c>
      <c r="P40" s="363" t="n">
        <v>114.73</v>
      </c>
      <c r="Q40" s="363" t="n">
        <v>149.68</v>
      </c>
      <c r="R40" s="362" t="n">
        <v>20</v>
      </c>
      <c r="S40" s="362" t="n">
        <v>54.95</v>
      </c>
      <c r="T40" s="362" t="n">
        <v>89.98</v>
      </c>
      <c r="U40" s="362" t="n">
        <v>115</v>
      </c>
      <c r="V40" s="362" t="n">
        <v>149.98</v>
      </c>
      <c r="W40" s="23" t="n"/>
      <c r="X40" s="182" t="n"/>
    </row>
    <row r="41" ht="15" customFormat="1" customHeight="1" s="187" thickBot="1">
      <c r="A41" s="184" t="n"/>
      <c r="B41" s="197" t="n">
        <v>2</v>
      </c>
      <c r="C41" s="377" t="inlineStr">
        <is>
          <t>PRT T85</t>
        </is>
      </c>
      <c r="D41" s="378" t="n"/>
      <c r="E41" s="202" t="n"/>
      <c r="F41" s="203" t="inlineStr">
        <is>
          <t>±0.5</t>
        </is>
      </c>
      <c r="G41" s="204" t="inlineStr">
        <is>
          <t>°C</t>
        </is>
      </c>
      <c r="H41" s="362" t="n">
        <v>20</v>
      </c>
      <c r="I41" s="362" t="n">
        <v>55</v>
      </c>
      <c r="J41" s="362" t="n">
        <v>90</v>
      </c>
      <c r="K41" s="362" t="n">
        <v>115</v>
      </c>
      <c r="L41" s="362" t="n">
        <v>150</v>
      </c>
      <c r="M41" s="363" t="n">
        <v>19.67</v>
      </c>
      <c r="N41" s="363" t="n">
        <v>54.67</v>
      </c>
      <c r="O41" s="363" t="n">
        <v>89.65000000000001</v>
      </c>
      <c r="P41" s="363" t="n">
        <v>114.67</v>
      </c>
      <c r="Q41" s="363" t="n">
        <v>149.62</v>
      </c>
      <c r="R41" s="362" t="n">
        <v>20</v>
      </c>
      <c r="S41" s="362" t="n">
        <v>55.02</v>
      </c>
      <c r="T41" s="362" t="n">
        <v>90</v>
      </c>
      <c r="U41" s="362" t="n">
        <v>115</v>
      </c>
      <c r="V41" s="362" t="n">
        <v>150.02</v>
      </c>
      <c r="W41" s="23" t="n"/>
      <c r="X41" s="182" t="n"/>
    </row>
    <row r="42" ht="15" customFormat="1" customHeight="1" s="187" thickBot="1">
      <c r="A42" s="184" t="n"/>
      <c r="B42" s="364" t="n">
        <v>3</v>
      </c>
      <c r="C42" s="377" t="inlineStr">
        <is>
          <t>PRT T86</t>
        </is>
      </c>
      <c r="D42" s="378" t="n"/>
      <c r="E42" s="202" t="n"/>
      <c r="F42" s="203" t="inlineStr">
        <is>
          <t>±0.5</t>
        </is>
      </c>
      <c r="G42" s="204" t="inlineStr">
        <is>
          <t>°C</t>
        </is>
      </c>
      <c r="H42" s="362" t="n">
        <v>20</v>
      </c>
      <c r="I42" s="362" t="n">
        <v>55</v>
      </c>
      <c r="J42" s="362" t="n">
        <v>90</v>
      </c>
      <c r="K42" s="362" t="n">
        <v>115</v>
      </c>
      <c r="L42" s="362" t="n">
        <v>150</v>
      </c>
      <c r="M42" s="363" t="n">
        <v>19.67</v>
      </c>
      <c r="N42" s="363" t="n">
        <v>54.68</v>
      </c>
      <c r="O42" s="363" t="n">
        <v>89.76000000000001</v>
      </c>
      <c r="P42" s="363" t="n">
        <v>114.75</v>
      </c>
      <c r="Q42" s="363" t="n">
        <v>149.79</v>
      </c>
      <c r="R42" s="362" t="n">
        <v>20.01</v>
      </c>
      <c r="S42" s="362" t="n">
        <v>54.98</v>
      </c>
      <c r="T42" s="362" t="n">
        <v>90.01000000000001</v>
      </c>
      <c r="U42" s="362" t="n">
        <v>115.02</v>
      </c>
      <c r="V42" s="362" t="n">
        <v>150</v>
      </c>
      <c r="W42" s="23" t="n"/>
      <c r="X42" s="186" t="n"/>
    </row>
    <row r="43" ht="16" customFormat="1" customHeight="1" s="192" thickBot="1">
      <c r="A43" s="199" t="n"/>
      <c r="B43" s="200" t="n"/>
      <c r="C43" s="454" t="inlineStr">
        <is>
          <t>High Temperature Channels -  Acceptable Deviation : +/- 5°C Adjust if error &gt;4°C.</t>
        </is>
      </c>
      <c r="D43" s="383" t="n"/>
      <c r="E43" s="383" t="n"/>
      <c r="F43" s="383" t="n"/>
      <c r="G43" s="383" t="n"/>
      <c r="H43" s="383" t="n"/>
      <c r="I43" s="383" t="n"/>
      <c r="J43" s="383" t="n"/>
      <c r="K43" s="383" t="n"/>
      <c r="L43" s="383" t="n"/>
      <c r="M43" s="383" t="n"/>
      <c r="N43" s="383" t="n"/>
      <c r="O43" s="383" t="n"/>
      <c r="P43" s="383" t="n"/>
      <c r="Q43" s="383" t="n"/>
      <c r="R43" s="383" t="n"/>
      <c r="S43" s="383" t="n"/>
      <c r="T43" s="383" t="n"/>
      <c r="U43" s="383" t="n"/>
      <c r="V43" s="384" t="n"/>
      <c r="W43" s="201" t="n"/>
      <c r="X43" s="191" t="n"/>
    </row>
    <row r="44" ht="15" customFormat="1" customHeight="1" s="187" thickBot="1">
      <c r="A44" s="184" t="n"/>
      <c r="B44" s="197" t="n">
        <v>1</v>
      </c>
      <c r="C44" s="377" t="inlineStr">
        <is>
          <t>TCK 81</t>
        </is>
      </c>
      <c r="D44" s="378" t="n"/>
      <c r="E44" s="202" t="n"/>
      <c r="F44" s="203" t="inlineStr">
        <is>
          <t>±5</t>
        </is>
      </c>
      <c r="G44" s="204" t="inlineStr">
        <is>
          <t>°C</t>
        </is>
      </c>
      <c r="H44" s="362" t="n">
        <v>0</v>
      </c>
      <c r="I44" s="362" t="n">
        <v>250</v>
      </c>
      <c r="J44" s="362" t="n">
        <v>500</v>
      </c>
      <c r="K44" s="362" t="n">
        <v>750</v>
      </c>
      <c r="L44" s="362" t="n">
        <v>1000</v>
      </c>
      <c r="M44" s="365" t="n">
        <v>1.4</v>
      </c>
      <c r="N44" s="365" t="n">
        <v>254.1</v>
      </c>
      <c r="O44" s="365" t="n">
        <v>504.1</v>
      </c>
      <c r="P44" s="365" t="n">
        <v>753.2</v>
      </c>
      <c r="Q44" s="365" t="n">
        <v>1004.4</v>
      </c>
      <c r="R44" s="362" t="n">
        <v>20</v>
      </c>
      <c r="S44" s="362" t="n">
        <v>54.95</v>
      </c>
      <c r="T44" s="362" t="n">
        <v>89.98</v>
      </c>
      <c r="U44" s="362" t="n">
        <v>115</v>
      </c>
      <c r="V44" s="362" t="n">
        <v>149.98</v>
      </c>
      <c r="W44" s="23" t="n"/>
      <c r="X44" s="182" t="n"/>
    </row>
    <row r="45" ht="15" customFormat="1" customHeight="1" s="187" thickBot="1">
      <c r="A45" s="184" t="n"/>
      <c r="B45" s="197" t="n">
        <v>2</v>
      </c>
      <c r="C45" s="377" t="inlineStr">
        <is>
          <t>TCK 82</t>
        </is>
      </c>
      <c r="D45" s="378" t="n"/>
      <c r="E45" s="202" t="n"/>
      <c r="F45" s="203" t="inlineStr">
        <is>
          <t>±5</t>
        </is>
      </c>
      <c r="G45" s="204" t="inlineStr">
        <is>
          <t>°C</t>
        </is>
      </c>
      <c r="H45" s="362" t="n">
        <v>0</v>
      </c>
      <c r="I45" s="362" t="n">
        <v>250</v>
      </c>
      <c r="J45" s="362" t="n">
        <v>500</v>
      </c>
      <c r="K45" s="362" t="n">
        <v>750</v>
      </c>
      <c r="L45" s="362" t="n">
        <v>1000</v>
      </c>
      <c r="M45" s="365" t="n">
        <v>3.3</v>
      </c>
      <c r="N45" s="365" t="n">
        <v>253.8</v>
      </c>
      <c r="O45" s="365" t="n">
        <v>504.6</v>
      </c>
      <c r="P45" s="365" t="n">
        <v>753.6</v>
      </c>
      <c r="Q45" s="365" t="n">
        <v>1003.8</v>
      </c>
      <c r="R45" s="362" t="n">
        <v>20</v>
      </c>
      <c r="S45" s="362" t="n">
        <v>55.02</v>
      </c>
      <c r="T45" s="362" t="n">
        <v>90</v>
      </c>
      <c r="U45" s="362" t="n">
        <v>115</v>
      </c>
      <c r="V45" s="362" t="n">
        <v>150.02</v>
      </c>
      <c r="W45" s="23" t="n"/>
      <c r="X45" s="182" t="n"/>
    </row>
    <row r="46" ht="15" customFormat="1" customHeight="1" s="187" thickBot="1">
      <c r="A46" s="184" t="n"/>
      <c r="B46" s="364" t="n">
        <v>3</v>
      </c>
      <c r="C46" s="377" t="inlineStr">
        <is>
          <t>TCK 83</t>
        </is>
      </c>
      <c r="D46" s="378" t="n"/>
      <c r="E46" s="202" t="n"/>
      <c r="F46" s="203" t="inlineStr">
        <is>
          <t>±5</t>
        </is>
      </c>
      <c r="G46" s="204" t="inlineStr">
        <is>
          <t>°C</t>
        </is>
      </c>
      <c r="H46" s="362" t="n">
        <v>0</v>
      </c>
      <c r="I46" s="362" t="n">
        <v>250</v>
      </c>
      <c r="J46" s="362" t="n">
        <v>500</v>
      </c>
      <c r="K46" s="362" t="n">
        <v>750</v>
      </c>
      <c r="L46" s="362" t="n">
        <v>1000</v>
      </c>
      <c r="M46" s="365" t="n">
        <v>4.3</v>
      </c>
      <c r="N46" s="365" t="n">
        <v>253.6</v>
      </c>
      <c r="O46" s="365" t="n">
        <v>505.2</v>
      </c>
      <c r="P46" s="365" t="n">
        <v>756.6</v>
      </c>
      <c r="Q46" s="365" t="n">
        <v>1005.7</v>
      </c>
      <c r="R46" s="362" t="n">
        <v>20.01</v>
      </c>
      <c r="S46" s="362" t="n">
        <v>54.98</v>
      </c>
      <c r="T46" s="362" t="n">
        <v>90.01000000000001</v>
      </c>
      <c r="U46" s="362" t="n">
        <v>115.02</v>
      </c>
      <c r="V46" s="362" t="n">
        <v>150</v>
      </c>
      <c r="W46" s="23" t="n"/>
      <c r="X46" s="186" t="n"/>
    </row>
    <row r="47" ht="15" customFormat="1" customHeight="1" s="187" thickBot="1">
      <c r="A47" s="186" t="n"/>
      <c r="B47" s="194" t="n"/>
      <c r="C47" s="455" t="inlineStr">
        <is>
          <t>NOTES</t>
        </is>
      </c>
      <c r="D47" s="383" t="n"/>
      <c r="E47" s="383" t="n"/>
      <c r="F47" s="383" t="n"/>
      <c r="G47" s="383" t="n"/>
      <c r="H47" s="383" t="n"/>
      <c r="I47" s="383" t="n"/>
      <c r="J47" s="383" t="n"/>
      <c r="K47" s="383" t="n"/>
      <c r="L47" s="383" t="n"/>
      <c r="M47" s="383" t="n"/>
      <c r="N47" s="383" t="n"/>
      <c r="O47" s="383" t="n"/>
      <c r="P47" s="383" t="n"/>
      <c r="Q47" s="384" t="n"/>
      <c r="R47" s="456" t="inlineStr">
        <is>
          <t>Work Orders</t>
        </is>
      </c>
      <c r="S47" s="380" t="n"/>
      <c r="T47" s="380" t="n"/>
      <c r="U47" s="380" t="n"/>
      <c r="V47" s="378" t="n"/>
      <c r="W47" s="205" t="n"/>
      <c r="X47" s="182" t="n"/>
    </row>
    <row r="48" ht="15" customFormat="1" customHeight="1" s="187" thickBot="1">
      <c r="A48" s="186" t="n"/>
      <c r="B48" s="193" t="n">
        <v>1</v>
      </c>
      <c r="C48" s="457" t="n"/>
      <c r="D48" s="380" t="n"/>
      <c r="E48" s="380" t="n"/>
      <c r="F48" s="380" t="n"/>
      <c r="G48" s="380" t="n"/>
      <c r="H48" s="380" t="n"/>
      <c r="I48" s="380" t="n"/>
      <c r="J48" s="380" t="n"/>
      <c r="K48" s="380" t="n"/>
      <c r="L48" s="380" t="n"/>
      <c r="M48" s="380" t="n"/>
      <c r="N48" s="380" t="n"/>
      <c r="O48" s="380" t="n"/>
      <c r="P48" s="380" t="n"/>
      <c r="Q48" s="378" t="n"/>
      <c r="R48" s="377" t="n"/>
      <c r="S48" s="380" t="n"/>
      <c r="T48" s="380" t="n"/>
      <c r="U48" s="380" t="n"/>
      <c r="V48" s="378" t="n"/>
      <c r="W48" s="206" t="n"/>
      <c r="X48" s="182" t="n"/>
    </row>
    <row r="49" ht="15" customFormat="1" customHeight="1" s="187" thickBot="1">
      <c r="A49" s="186" t="n"/>
      <c r="B49" s="197" t="n">
        <v>2</v>
      </c>
      <c r="C49" s="457" t="n"/>
      <c r="D49" s="380" t="n"/>
      <c r="E49" s="380" t="n"/>
      <c r="F49" s="380" t="n"/>
      <c r="G49" s="380" t="n"/>
      <c r="H49" s="380" t="n"/>
      <c r="I49" s="380" t="n"/>
      <c r="J49" s="380" t="n"/>
      <c r="K49" s="380" t="n"/>
      <c r="L49" s="380" t="n"/>
      <c r="M49" s="380" t="n"/>
      <c r="N49" s="380" t="n"/>
      <c r="O49" s="380" t="n"/>
      <c r="P49" s="380" t="n"/>
      <c r="Q49" s="378" t="n"/>
      <c r="R49" s="377" t="n"/>
      <c r="S49" s="380" t="n"/>
      <c r="T49" s="380" t="n"/>
      <c r="U49" s="380" t="n"/>
      <c r="V49" s="378" t="n"/>
      <c r="W49" s="206" t="n"/>
      <c r="X49" s="182" t="n"/>
    </row>
    <row r="50" ht="15" customFormat="1" customHeight="1" s="187" thickBot="1">
      <c r="A50" s="184" t="n"/>
      <c r="B50" s="197" t="n">
        <v>3</v>
      </c>
      <c r="C50" s="457" t="n"/>
      <c r="D50" s="380" t="n"/>
      <c r="E50" s="380" t="n"/>
      <c r="F50" s="380" t="n"/>
      <c r="G50" s="380" t="n"/>
      <c r="H50" s="380" t="n"/>
      <c r="I50" s="380" t="n"/>
      <c r="J50" s="380" t="n"/>
      <c r="K50" s="380" t="n"/>
      <c r="L50" s="380" t="n"/>
      <c r="M50" s="380" t="n"/>
      <c r="N50" s="380" t="n"/>
      <c r="O50" s="380" t="n"/>
      <c r="P50" s="380" t="n"/>
      <c r="Q50" s="378" t="n"/>
      <c r="R50" s="377" t="n"/>
      <c r="S50" s="380" t="n"/>
      <c r="T50" s="380" t="n"/>
      <c r="U50" s="380" t="n"/>
      <c r="V50" s="378" t="n"/>
      <c r="W50" s="206" t="n"/>
      <c r="X50" s="182" t="n"/>
    </row>
    <row r="51" ht="15" customFormat="1" customHeight="1" s="187" thickBot="1">
      <c r="A51" s="182" t="n"/>
      <c r="B51" s="197" t="n">
        <v>4</v>
      </c>
      <c r="C51" s="457" t="n"/>
      <c r="D51" s="380" t="n"/>
      <c r="E51" s="380" t="n"/>
      <c r="F51" s="380" t="n"/>
      <c r="G51" s="380" t="n"/>
      <c r="H51" s="380" t="n"/>
      <c r="I51" s="380" t="n"/>
      <c r="J51" s="380" t="n"/>
      <c r="K51" s="380" t="n"/>
      <c r="L51" s="380" t="n"/>
      <c r="M51" s="380" t="n"/>
      <c r="N51" s="380" t="n"/>
      <c r="O51" s="380" t="n"/>
      <c r="P51" s="380" t="n"/>
      <c r="Q51" s="378" t="n"/>
      <c r="R51" s="377" t="n"/>
      <c r="S51" s="380" t="n"/>
      <c r="T51" s="380" t="n"/>
      <c r="U51" s="380" t="n"/>
      <c r="V51" s="378" t="n"/>
      <c r="W51" s="206" t="n"/>
      <c r="X51" s="182" t="n"/>
    </row>
    <row r="52" ht="15" customFormat="1" customHeight="1" s="187" thickBot="1">
      <c r="A52" s="184" t="n"/>
      <c r="B52" s="197" t="n">
        <v>5</v>
      </c>
      <c r="C52" s="457" t="n"/>
      <c r="D52" s="380" t="n"/>
      <c r="E52" s="380" t="n"/>
      <c r="F52" s="380" t="n"/>
      <c r="G52" s="380" t="n"/>
      <c r="H52" s="380" t="n"/>
      <c r="I52" s="380" t="n"/>
      <c r="J52" s="380" t="n"/>
      <c r="K52" s="380" t="n"/>
      <c r="L52" s="380" t="n"/>
      <c r="M52" s="380" t="n"/>
      <c r="N52" s="380" t="n"/>
      <c r="O52" s="380" t="n"/>
      <c r="P52" s="380" t="n"/>
      <c r="Q52" s="378" t="n"/>
      <c r="R52" s="377" t="n"/>
      <c r="S52" s="380" t="n"/>
      <c r="T52" s="380" t="n"/>
      <c r="U52" s="380" t="n"/>
      <c r="V52" s="378" t="n"/>
      <c r="W52" s="206" t="n"/>
      <c r="X52" s="186" t="n"/>
    </row>
    <row r="53" ht="15" customFormat="1" customHeight="1" s="187" thickBot="1">
      <c r="A53" s="184" t="n"/>
      <c r="B53" s="197" t="n">
        <v>6</v>
      </c>
      <c r="C53" s="457" t="n"/>
      <c r="D53" s="380" t="n"/>
      <c r="E53" s="380" t="n"/>
      <c r="F53" s="380" t="n"/>
      <c r="G53" s="380" t="n"/>
      <c r="H53" s="380" t="n"/>
      <c r="I53" s="380" t="n"/>
      <c r="J53" s="380" t="n"/>
      <c r="K53" s="380" t="n"/>
      <c r="L53" s="380" t="n"/>
      <c r="M53" s="380" t="n"/>
      <c r="N53" s="380" t="n"/>
      <c r="O53" s="380" t="n"/>
      <c r="P53" s="380" t="n"/>
      <c r="Q53" s="378" t="n"/>
      <c r="R53" s="377" t="n"/>
      <c r="S53" s="380" t="n"/>
      <c r="T53" s="380" t="n"/>
      <c r="U53" s="380" t="n"/>
      <c r="V53" s="378" t="n"/>
      <c r="W53" s="206" t="n"/>
      <c r="X53" s="186" t="n"/>
    </row>
    <row r="54" ht="15" customFormat="1" customHeight="1" s="187" thickBot="1">
      <c r="A54" s="184" t="n"/>
      <c r="B54" s="197" t="n">
        <v>7</v>
      </c>
      <c r="C54" s="457" t="n"/>
      <c r="D54" s="380" t="n"/>
      <c r="E54" s="380" t="n"/>
      <c r="F54" s="380" t="n"/>
      <c r="G54" s="380" t="n"/>
      <c r="H54" s="380" t="n"/>
      <c r="I54" s="380" t="n"/>
      <c r="J54" s="380" t="n"/>
      <c r="K54" s="380" t="n"/>
      <c r="L54" s="380" t="n"/>
      <c r="M54" s="380" t="n"/>
      <c r="N54" s="380" t="n"/>
      <c r="O54" s="380" t="n"/>
      <c r="P54" s="380" t="n"/>
      <c r="Q54" s="378" t="n"/>
      <c r="R54" s="377" t="n"/>
      <c r="S54" s="380" t="n"/>
      <c r="T54" s="380" t="n"/>
      <c r="U54" s="380" t="n"/>
      <c r="V54" s="378" t="n"/>
      <c r="W54" s="206" t="n"/>
      <c r="X54" s="186" t="n"/>
    </row>
    <row r="55" ht="15" customFormat="1" customHeight="1" s="187" thickBot="1">
      <c r="A55" s="184" t="n"/>
      <c r="B55" s="197" t="n">
        <v>8</v>
      </c>
      <c r="C55" s="457" t="n"/>
      <c r="D55" s="380" t="n"/>
      <c r="E55" s="380" t="n"/>
      <c r="F55" s="380" t="n"/>
      <c r="G55" s="380" t="n"/>
      <c r="H55" s="380" t="n"/>
      <c r="I55" s="380" t="n"/>
      <c r="J55" s="380" t="n"/>
      <c r="K55" s="380" t="n"/>
      <c r="L55" s="380" t="n"/>
      <c r="M55" s="380" t="n"/>
      <c r="N55" s="380" t="n"/>
      <c r="O55" s="380" t="n"/>
      <c r="P55" s="380" t="n"/>
      <c r="Q55" s="378" t="n"/>
      <c r="R55" s="377" t="n"/>
      <c r="S55" s="380" t="n"/>
      <c r="T55" s="380" t="n"/>
      <c r="U55" s="380" t="n"/>
      <c r="V55" s="378" t="n"/>
      <c r="W55" s="206" t="n"/>
      <c r="X55" s="186" t="n"/>
    </row>
    <row r="56" ht="15" customFormat="1" customHeight="1" s="187" thickBot="1">
      <c r="A56" s="184" t="n"/>
      <c r="B56" s="197" t="n">
        <v>9</v>
      </c>
      <c r="C56" s="457" t="n"/>
      <c r="D56" s="380" t="n"/>
      <c r="E56" s="380" t="n"/>
      <c r="F56" s="380" t="n"/>
      <c r="G56" s="380" t="n"/>
      <c r="H56" s="380" t="n"/>
      <c r="I56" s="380" t="n"/>
      <c r="J56" s="380" t="n"/>
      <c r="K56" s="380" t="n"/>
      <c r="L56" s="380" t="n"/>
      <c r="M56" s="380" t="n"/>
      <c r="N56" s="380" t="n"/>
      <c r="O56" s="380" t="n"/>
      <c r="P56" s="380" t="n"/>
      <c r="Q56" s="378" t="n"/>
      <c r="R56" s="377" t="n"/>
      <c r="S56" s="380" t="n"/>
      <c r="T56" s="380" t="n"/>
      <c r="U56" s="380" t="n"/>
      <c r="V56" s="378" t="n"/>
      <c r="W56" s="206" t="n"/>
      <c r="X56" s="186" t="n"/>
    </row>
    <row r="57" ht="15" customFormat="1" customHeight="1" s="187" thickBot="1">
      <c r="A57" s="184" t="n"/>
      <c r="B57" s="207" t="n">
        <v>10</v>
      </c>
      <c r="C57" s="457" t="n"/>
      <c r="D57" s="380" t="n"/>
      <c r="E57" s="380" t="n"/>
      <c r="F57" s="380" t="n"/>
      <c r="G57" s="380" t="n"/>
      <c r="H57" s="380" t="n"/>
      <c r="I57" s="380" t="n"/>
      <c r="J57" s="380" t="n"/>
      <c r="K57" s="380" t="n"/>
      <c r="L57" s="380" t="n"/>
      <c r="M57" s="380" t="n"/>
      <c r="N57" s="380" t="n"/>
      <c r="O57" s="380" t="n"/>
      <c r="P57" s="380" t="n"/>
      <c r="Q57" s="378" t="n"/>
      <c r="R57" s="377" t="n"/>
      <c r="S57" s="380" t="n"/>
      <c r="T57" s="380" t="n"/>
      <c r="U57" s="380" t="n"/>
      <c r="V57" s="378" t="n"/>
      <c r="W57" s="206" t="n"/>
      <c r="X57" s="186" t="n"/>
    </row>
    <row r="58" ht="15" customFormat="1" customHeight="1" s="187">
      <c r="A58" s="184" t="n"/>
      <c r="B58" s="184" t="n"/>
      <c r="C58" s="208" t="n"/>
      <c r="D58" s="208" t="n"/>
      <c r="E58" s="186" t="n"/>
      <c r="F58" s="185" t="n"/>
      <c r="G58" s="186" t="n"/>
      <c r="H58" s="458" t="n"/>
      <c r="I58" s="458" t="n"/>
      <c r="J58" s="458" t="n"/>
      <c r="K58" s="458" t="n"/>
      <c r="L58" s="186" t="n"/>
      <c r="V58" s="186" t="n"/>
      <c r="W58" s="186" t="n"/>
      <c r="X58" s="186" t="n"/>
    </row>
    <row r="59" ht="15" customFormat="1" customHeight="1" s="187">
      <c r="B59" s="360" t="inlineStr">
        <is>
          <t>This calibration report shall only be reproduced in full, unless otherwise authorised in writing by Caterpillar management.</t>
        </is>
      </c>
      <c r="C59" s="366" t="n"/>
      <c r="D59" s="366" t="n"/>
      <c r="E59" s="366" t="n"/>
      <c r="F59" s="366" t="n"/>
      <c r="G59" s="366" t="n"/>
      <c r="H59" s="366" t="n"/>
      <c r="I59" s="366" t="n"/>
      <c r="J59" s="366" t="n"/>
      <c r="K59" s="366" t="n"/>
      <c r="L59" s="366" t="n"/>
      <c r="M59" s="366" t="n"/>
      <c r="N59" s="366" t="n"/>
      <c r="O59" s="366" t="n"/>
      <c r="P59" s="366" t="n"/>
      <c r="Q59" s="366" t="n"/>
      <c r="R59" s="366" t="n"/>
      <c r="S59" s="366" t="n"/>
      <c r="T59" s="366" t="n"/>
      <c r="U59" s="366" t="n"/>
      <c r="V59" s="366" t="n"/>
      <c r="W59" s="186" t="n"/>
      <c r="X59" s="186" t="n"/>
    </row>
    <row r="60" ht="15" customFormat="1" customHeight="1" s="187">
      <c r="A60" s="327" t="n"/>
      <c r="B60" s="366" t="n"/>
      <c r="C60" s="366" t="n"/>
      <c r="D60" s="366" t="n"/>
      <c r="E60" s="366" t="n"/>
      <c r="F60" s="366" t="n"/>
      <c r="G60" s="366" t="n"/>
      <c r="H60" s="366" t="n"/>
      <c r="I60" s="366" t="n"/>
      <c r="J60" s="366" t="n"/>
      <c r="K60" s="366" t="n"/>
      <c r="L60" s="366" t="n"/>
      <c r="M60" s="366" t="n"/>
      <c r="N60" s="366" t="n"/>
      <c r="O60" s="366" t="n"/>
      <c r="P60" s="366" t="n"/>
      <c r="Q60" s="366" t="n"/>
      <c r="R60" s="366" t="n"/>
      <c r="S60" s="366" t="n"/>
      <c r="T60" s="366" t="n"/>
      <c r="U60" s="366" t="n"/>
      <c r="V60" s="366" t="n"/>
      <c r="W60" s="186" t="n"/>
      <c r="X60" s="186" t="n"/>
    </row>
    <row r="61" ht="13" customHeight="1" thickBot="1">
      <c r="A61" s="184" t="n"/>
      <c r="B61" s="184" t="n"/>
      <c r="C61" s="208" t="n"/>
      <c r="D61" s="208" t="n"/>
      <c r="E61" s="186" t="n"/>
      <c r="F61" s="185" t="n"/>
      <c r="G61" s="186" t="n"/>
      <c r="H61" s="458" t="n"/>
      <c r="I61" s="458" t="n"/>
      <c r="J61" s="458" t="n"/>
      <c r="K61" s="458" t="n"/>
      <c r="L61" s="186" t="n"/>
      <c r="M61" s="187" t="n"/>
      <c r="N61" s="187" t="n"/>
      <c r="O61" s="187" t="n"/>
      <c r="P61" s="187" t="n"/>
      <c r="Q61" s="187" t="n"/>
      <c r="R61" s="187" t="n"/>
      <c r="S61" s="187" t="n"/>
      <c r="T61" s="187" t="n"/>
      <c r="U61" s="187" t="n"/>
      <c r="V61" s="186" t="n"/>
      <c r="W61" s="186" t="n"/>
      <c r="X61" s="186" t="n"/>
    </row>
    <row r="62" ht="13" customHeight="1" thickBot="1">
      <c r="A62" s="184" t="n"/>
      <c r="B62" s="184" t="n"/>
      <c r="C62" s="185" t="n"/>
      <c r="D62" s="185" t="n"/>
      <c r="E62" s="185" t="inlineStr">
        <is>
          <t xml:space="preserve">Previous Bed Calibration: </t>
        </is>
      </c>
      <c r="F62" s="459" t="n">
        <v>44656</v>
      </c>
      <c r="G62" s="378" t="n"/>
      <c r="H62" s="187" t="n"/>
      <c r="I62" s="187" t="n"/>
      <c r="J62" s="187" t="n"/>
      <c r="K62" s="187" t="n"/>
      <c r="L62" s="187" t="n"/>
      <c r="M62" s="185" t="n"/>
      <c r="N62" s="185" t="n"/>
      <c r="O62" s="185" t="n"/>
      <c r="P62" s="185" t="n"/>
      <c r="Q62" s="185" t="inlineStr">
        <is>
          <t>Proposed Next Calibration:</t>
        </is>
      </c>
      <c r="R62" s="185" t="n"/>
      <c r="S62" s="185" t="n"/>
      <c r="T62" s="185" t="n"/>
      <c r="U62" s="459">
        <f>Title!F4</f>
        <v/>
      </c>
      <c r="V62" s="378" t="n"/>
      <c r="W62" s="460" t="n"/>
      <c r="X62" s="186" t="n"/>
    </row>
    <row r="63" ht="13" customHeight="1" thickBot="1">
      <c r="A63" s="184" t="n"/>
      <c r="B63" s="184" t="n"/>
      <c r="C63" s="184" t="n"/>
      <c r="D63" s="184" t="n"/>
      <c r="E63" s="184" t="n"/>
      <c r="F63" s="184" t="n"/>
      <c r="G63" s="184" t="n"/>
      <c r="H63" s="184" t="n"/>
      <c r="I63" s="184" t="n"/>
      <c r="J63" s="184" t="n"/>
      <c r="K63" s="184" t="n"/>
      <c r="L63" s="184" t="n"/>
      <c r="M63" s="184" t="n"/>
      <c r="N63" s="184" t="n"/>
      <c r="O63" s="184" t="n"/>
      <c r="P63" s="184" t="n"/>
      <c r="Q63" s="184" t="n"/>
      <c r="R63" s="184" t="n"/>
      <c r="S63" s="184" t="n"/>
      <c r="T63" s="184" t="n"/>
      <c r="U63" s="184" t="n"/>
      <c r="V63" s="186" t="n"/>
      <c r="W63" s="186" t="n"/>
      <c r="X63" s="186" t="n"/>
    </row>
    <row r="64" ht="13" customHeight="1" thickBot="1">
      <c r="A64" s="184" t="n"/>
      <c r="B64" s="458" t="n"/>
      <c r="C64" s="185" t="n"/>
      <c r="D64" s="185" t="n"/>
      <c r="E64" s="185" t="inlineStr">
        <is>
          <t xml:space="preserve">Previous Dynamometer Calibration: </t>
        </is>
      </c>
      <c r="F64" s="459" t="inlineStr">
        <is>
          <t>n/a</t>
        </is>
      </c>
      <c r="G64" s="378" t="n"/>
      <c r="H64" s="187" t="n"/>
      <c r="I64" s="187" t="n"/>
      <c r="J64" s="187" t="n"/>
      <c r="K64" s="187" t="n"/>
      <c r="L64" s="186" t="n"/>
      <c r="M64" s="187" t="n"/>
      <c r="N64" s="187" t="n"/>
      <c r="O64" s="187" t="n"/>
      <c r="P64" s="187" t="n"/>
      <c r="Q64" s="187" t="n"/>
      <c r="R64" s="187" t="n"/>
      <c r="S64" s="187" t="n"/>
      <c r="T64" s="187" t="n"/>
      <c r="U64" s="184" t="n"/>
      <c r="V64" s="186" t="n"/>
      <c r="W64" s="186" t="n"/>
      <c r="X64" s="186" t="n"/>
    </row>
    <row r="65">
      <c r="A65" s="184" t="n"/>
      <c r="B65" s="184" t="n"/>
      <c r="C65" s="184" t="n"/>
      <c r="D65" s="184" t="n"/>
      <c r="E65" s="186" t="n"/>
      <c r="F65" s="184" t="n"/>
      <c r="G65" s="186" t="n"/>
      <c r="H65" s="458" t="n"/>
      <c r="I65" s="458" t="n"/>
      <c r="J65" s="458" t="n"/>
      <c r="K65" s="458" t="n"/>
      <c r="L65" s="186" t="n"/>
      <c r="M65" s="187" t="n"/>
      <c r="N65" s="187" t="n"/>
      <c r="O65" s="187" t="n"/>
      <c r="P65" s="187" t="n"/>
      <c r="Q65" s="187" t="n"/>
      <c r="R65" s="187" t="n"/>
      <c r="S65" s="187" t="n"/>
      <c r="T65" s="187" t="n"/>
      <c r="U65" s="187" t="n"/>
      <c r="V65" s="186" t="n"/>
      <c r="W65" s="186" t="n"/>
      <c r="X65" s="186" t="n"/>
    </row>
  </sheetData>
  <mergeCells count="72">
    <mergeCell ref="C34:D34"/>
    <mergeCell ref="R48:V48"/>
    <mergeCell ref="C24:D24"/>
    <mergeCell ref="C30:D30"/>
    <mergeCell ref="C47:Q47"/>
    <mergeCell ref="C54:Q54"/>
    <mergeCell ref="C33:D33"/>
    <mergeCell ref="C15:D15"/>
    <mergeCell ref="C50:Q50"/>
    <mergeCell ref="C42:D42"/>
    <mergeCell ref="R11:V11"/>
    <mergeCell ref="C55:Q55"/>
    <mergeCell ref="R57:V57"/>
    <mergeCell ref="C45:D45"/>
    <mergeCell ref="C14:D14"/>
    <mergeCell ref="C26:D26"/>
    <mergeCell ref="C18:D18"/>
    <mergeCell ref="A4:V4"/>
    <mergeCell ref="C56:Q56"/>
    <mergeCell ref="C35:D35"/>
    <mergeCell ref="E8:F8"/>
    <mergeCell ref="C20:D20"/>
    <mergeCell ref="R49:V49"/>
    <mergeCell ref="C29:D29"/>
    <mergeCell ref="C51:Q51"/>
    <mergeCell ref="C16:D16"/>
    <mergeCell ref="C25:D25"/>
    <mergeCell ref="M11:Q11"/>
    <mergeCell ref="C41:D41"/>
    <mergeCell ref="B59:V60"/>
    <mergeCell ref="C52:Q52"/>
    <mergeCell ref="C44:D44"/>
    <mergeCell ref="C22:D22"/>
    <mergeCell ref="C40:D40"/>
    <mergeCell ref="C10:V10"/>
    <mergeCell ref="C31:D31"/>
    <mergeCell ref="C48:Q48"/>
    <mergeCell ref="R55:V55"/>
    <mergeCell ref="R51:V51"/>
    <mergeCell ref="F62:G62"/>
    <mergeCell ref="C46:D46"/>
    <mergeCell ref="C21:D21"/>
    <mergeCell ref="H11:L11"/>
    <mergeCell ref="C43:V43"/>
    <mergeCell ref="C11:D11"/>
    <mergeCell ref="C27:D27"/>
    <mergeCell ref="C12:V12"/>
    <mergeCell ref="A1:V1"/>
    <mergeCell ref="C57:Q57"/>
    <mergeCell ref="C36:D36"/>
    <mergeCell ref="R47:V47"/>
    <mergeCell ref="R54:V54"/>
    <mergeCell ref="U62:V62"/>
    <mergeCell ref="C53:Q53"/>
    <mergeCell ref="R50:V50"/>
    <mergeCell ref="Q6:U6"/>
    <mergeCell ref="C49:Q49"/>
    <mergeCell ref="C23:D23"/>
    <mergeCell ref="C17:D17"/>
    <mergeCell ref="R52:V52"/>
    <mergeCell ref="R56:V56"/>
    <mergeCell ref="R53:V53"/>
    <mergeCell ref="C32:D32"/>
    <mergeCell ref="C38:D38"/>
    <mergeCell ref="C39:V39"/>
    <mergeCell ref="C19:D19"/>
    <mergeCell ref="C37:D37"/>
    <mergeCell ref="C28:D28"/>
    <mergeCell ref="C13:D13"/>
    <mergeCell ref="A3:V3"/>
    <mergeCell ref="Q8:V8"/>
    <mergeCell ref="F64:G64"/>
  </mergeCells>
  <conditionalFormatting sqref="M13:Q38">
    <cfRule type="cellIs" priority="63" operator="notBetween" dxfId="1" stopIfTrue="1">
      <formula>M$11-$S$11</formula>
      <formula>M$11+$S$11</formula>
    </cfRule>
    <cfRule type="cellIs" priority="64" operator="notBetween" dxfId="0" stopIfTrue="1">
      <formula>M$11-$S$11*0.8</formula>
      <formula>M$11+$S$11*0.8</formula>
    </cfRule>
  </conditionalFormatting>
  <conditionalFormatting sqref="N13:Q13">
    <cfRule type="cellIs" priority="61" operator="notBetween" dxfId="1" stopIfTrue="1">
      <formula>N$11-$S$11</formula>
      <formula>N$11+$S$11</formula>
    </cfRule>
    <cfRule type="cellIs" priority="62" operator="notBetween" dxfId="0" stopIfTrue="1">
      <formula>N$11-$S$11*0.8</formula>
      <formula>N$11+$S$11*0.8</formula>
    </cfRule>
  </conditionalFormatting>
  <conditionalFormatting sqref="M17:Q17">
    <cfRule type="cellIs" priority="59" operator="notBetween" dxfId="1" stopIfTrue="1">
      <formula>M$11-$S$11</formula>
      <formula>M$11+$S$11</formula>
    </cfRule>
    <cfRule type="cellIs" priority="60" operator="notBetween" dxfId="0" stopIfTrue="1">
      <formula>M$11-$S$11*0.8</formula>
      <formula>M$11+$S$11*0.8</formula>
    </cfRule>
  </conditionalFormatting>
  <conditionalFormatting sqref="M20">
    <cfRule type="cellIs" priority="57" operator="notBetween" dxfId="1" stopIfTrue="1">
      <formula>M$11-$S$11</formula>
      <formula>M$11+$S$11</formula>
    </cfRule>
    <cfRule type="cellIs" priority="58" operator="notBetween" dxfId="0" stopIfTrue="1">
      <formula>M$11-$S$11*0.8</formula>
      <formula>M$11+$S$11*0.8</formula>
    </cfRule>
  </conditionalFormatting>
  <conditionalFormatting sqref="M28:Q28">
    <cfRule type="cellIs" priority="55" operator="notBetween" dxfId="1" stopIfTrue="1">
      <formula>M$11-$S$11</formula>
      <formula>M$11+$S$11</formula>
    </cfRule>
    <cfRule type="cellIs" priority="56" operator="notBetween" dxfId="0" stopIfTrue="1">
      <formula>M$11-$S$11*0.8</formula>
      <formula>M$11+$S$11*0.8</formula>
    </cfRule>
  </conditionalFormatting>
  <conditionalFormatting sqref="M14">
    <cfRule type="cellIs" priority="53" operator="notBetween" dxfId="1" stopIfTrue="1">
      <formula>M$11-$S$11</formula>
      <formula>M$11+$S$11</formula>
    </cfRule>
    <cfRule type="cellIs" priority="54" operator="notBetween" dxfId="0" stopIfTrue="1">
      <formula>M$11-$S$11*0.8</formula>
      <formula>M$11+$S$11*0.8</formula>
    </cfRule>
  </conditionalFormatting>
  <conditionalFormatting sqref="N14:Q14">
    <cfRule type="cellIs" priority="51" operator="notBetween" dxfId="1" stopIfTrue="1">
      <formula>N$11-$S$11</formula>
      <formula>N$11+$S$11</formula>
    </cfRule>
    <cfRule type="cellIs" priority="52" operator="notBetween" dxfId="0" stopIfTrue="1">
      <formula>N$11-$S$11*0.8</formula>
      <formula>N$11+$S$11*0.8</formula>
    </cfRule>
  </conditionalFormatting>
  <conditionalFormatting sqref="M15">
    <cfRule type="cellIs" priority="49" operator="notBetween" dxfId="1" stopIfTrue="1">
      <formula>M$13-$S$13</formula>
      <formula>M$13+$S$13</formula>
    </cfRule>
    <cfRule type="cellIs" priority="50" operator="notBetween" dxfId="0" stopIfTrue="1">
      <formula>M$13-$S$13*0.8</formula>
      <formula>M$13+$S$13*0.8</formula>
    </cfRule>
  </conditionalFormatting>
  <conditionalFormatting sqref="N15:Q15">
    <cfRule type="cellIs" priority="47" operator="notBetween" dxfId="1" stopIfTrue="1">
      <formula>N$13-$S$13</formula>
      <formula>N$13+$S$13</formula>
    </cfRule>
    <cfRule type="cellIs" priority="48" operator="notBetween" dxfId="0" stopIfTrue="1">
      <formula>N$13-$S$13*0.8</formula>
      <formula>N$13+$S$13*0.8</formula>
    </cfRule>
  </conditionalFormatting>
  <conditionalFormatting sqref="M16">
    <cfRule type="cellIs" priority="45" operator="notBetween" dxfId="1" stopIfTrue="1">
      <formula>M$15-$S$15</formula>
      <formula>M$15+$S$15</formula>
    </cfRule>
    <cfRule type="cellIs" priority="46" operator="notBetween" dxfId="0" stopIfTrue="1">
      <formula>M$15-$S$15*0.8</formula>
      <formula>M$15+$S$15*0.8</formula>
    </cfRule>
  </conditionalFormatting>
  <conditionalFormatting sqref="N16:Q16">
    <cfRule type="cellIs" priority="43" operator="notBetween" dxfId="1" stopIfTrue="1">
      <formula>N$15-$S$15</formula>
      <formula>N$15+$S$15</formula>
    </cfRule>
    <cfRule type="cellIs" priority="44" operator="notBetween" dxfId="0" stopIfTrue="1">
      <formula>N$15-$S$15*0.8</formula>
      <formula>N$15+$S$15*0.8</formula>
    </cfRule>
  </conditionalFormatting>
  <conditionalFormatting sqref="M19:Q19">
    <cfRule type="cellIs" priority="41" operator="notBetween" dxfId="1" stopIfTrue="1">
      <formula>M$49-$S$49</formula>
      <formula>M$49+$S$49</formula>
    </cfRule>
    <cfRule type="cellIs" priority="42" operator="notBetween" dxfId="0" stopIfTrue="1">
      <formula>M$49-$S$49*0.8</formula>
      <formula>M$49+$S$49*0.8</formula>
    </cfRule>
  </conditionalFormatting>
  <conditionalFormatting sqref="M21:Q21">
    <cfRule type="cellIs" priority="39" operator="notBetween" dxfId="1" stopIfTrue="1">
      <formula>M$61-$S$61</formula>
      <formula>M$61+$S$61</formula>
    </cfRule>
    <cfRule type="cellIs" priority="40" operator="notBetween" dxfId="0" stopIfTrue="1">
      <formula>M$61-$S$61*0.8</formula>
      <formula>M$61+$S$61*0.8</formula>
    </cfRule>
  </conditionalFormatting>
  <conditionalFormatting sqref="M22:Q22">
    <cfRule type="cellIs" priority="37" operator="notBetween" dxfId="1" stopIfTrue="1">
      <formula>M$63-$S$63</formula>
      <formula>M$63+$S$63</formula>
    </cfRule>
    <cfRule type="cellIs" priority="38" operator="notBetween" dxfId="0" stopIfTrue="1">
      <formula>M$63-$S$63*0.8</formula>
      <formula>M$63+$S$63*0.8</formula>
    </cfRule>
  </conditionalFormatting>
  <conditionalFormatting sqref="M23:Q23">
    <cfRule type="cellIs" priority="35" operator="notBetween" dxfId="1" stopIfTrue="1">
      <formula>M$9-$S$9</formula>
      <formula>M$9+$S$9</formula>
    </cfRule>
    <cfRule type="cellIs" priority="36" operator="notBetween" dxfId="0" stopIfTrue="1">
      <formula>M$9-$S$9*0.8</formula>
      <formula>M$9+$S$9*0.8</formula>
    </cfRule>
  </conditionalFormatting>
  <conditionalFormatting sqref="M24">
    <cfRule type="cellIs" priority="33" operator="notBetween" dxfId="1" stopIfTrue="1">
      <formula>M$11-$S$11</formula>
      <formula>M$11+$S$11</formula>
    </cfRule>
    <cfRule type="cellIs" priority="34" operator="notBetween" dxfId="0" stopIfTrue="1">
      <formula>M$11-$S$11*0.8</formula>
      <formula>M$11+$S$11*0.8</formula>
    </cfRule>
  </conditionalFormatting>
  <conditionalFormatting sqref="N24:Q24">
    <cfRule type="cellIs" priority="31" operator="notBetween" dxfId="1" stopIfTrue="1">
      <formula>N$11-$S$11</formula>
      <formula>N$11+$S$11</formula>
    </cfRule>
    <cfRule type="cellIs" priority="32" operator="notBetween" dxfId="0" stopIfTrue="1">
      <formula>N$11-$S$11*0.8</formula>
      <formula>N$11+$S$11*0.8</formula>
    </cfRule>
  </conditionalFormatting>
  <conditionalFormatting sqref="M25">
    <cfRule type="cellIs" priority="29" operator="notBetween" dxfId="1" stopIfTrue="1">
      <formula>M$13-$S$13</formula>
      <formula>M$13+$S$13</formula>
    </cfRule>
    <cfRule type="cellIs" priority="30" operator="notBetween" dxfId="0" stopIfTrue="1">
      <formula>M$13-$S$13*0.8</formula>
      <formula>M$13+$S$13*0.8</formula>
    </cfRule>
  </conditionalFormatting>
  <conditionalFormatting sqref="N25:Q25">
    <cfRule type="cellIs" priority="27" operator="notBetween" dxfId="1" stopIfTrue="1">
      <formula>N$13-$S$13</formula>
      <formula>N$13+$S$13</formula>
    </cfRule>
    <cfRule type="cellIs" priority="28" operator="notBetween" dxfId="0" stopIfTrue="1">
      <formula>N$13-$S$13*0.8</formula>
      <formula>N$13+$S$13*0.8</formula>
    </cfRule>
  </conditionalFormatting>
  <conditionalFormatting sqref="M26">
    <cfRule type="cellIs" priority="25" operator="notBetween" dxfId="1" stopIfTrue="1">
      <formula>M$15-$S$15</formula>
      <formula>M$15+$S$15</formula>
    </cfRule>
    <cfRule type="cellIs" priority="26" operator="notBetween" dxfId="0" stopIfTrue="1">
      <formula>M$15-$S$15*0.8</formula>
      <formula>M$15+$S$15*0.8</formula>
    </cfRule>
  </conditionalFormatting>
  <conditionalFormatting sqref="N26:Q26">
    <cfRule type="cellIs" priority="23" operator="notBetween" dxfId="1" stopIfTrue="1">
      <formula>N$15-$S$15</formula>
      <formula>N$15+$S$15</formula>
    </cfRule>
    <cfRule type="cellIs" priority="24" operator="notBetween" dxfId="0" stopIfTrue="1">
      <formula>N$15-$S$15*0.8</formula>
      <formula>N$15+$S$15*0.8</formula>
    </cfRule>
  </conditionalFormatting>
  <conditionalFormatting sqref="M27:Q27">
    <cfRule type="cellIs" priority="21" operator="notBetween" dxfId="1" stopIfTrue="1">
      <formula>M$17-$S$17</formula>
      <formula>M$17+$S$17</formula>
    </cfRule>
    <cfRule type="cellIs" priority="22" operator="notBetween" dxfId="0" stopIfTrue="1">
      <formula>M$17-$S$17*0.8</formula>
      <formula>M$17+$S$17*0.8</formula>
    </cfRule>
  </conditionalFormatting>
  <conditionalFormatting sqref="M29:Q29">
    <cfRule type="cellIs" priority="19" operator="notBetween" dxfId="1" stopIfTrue="1">
      <formula>M$31-$S$31</formula>
      <formula>M$31+$S$31</formula>
    </cfRule>
    <cfRule type="cellIs" priority="20" operator="notBetween" dxfId="0" stopIfTrue="1">
      <formula>M$31-$S$31*0.8</formula>
      <formula>M$31+$S$31*0.8</formula>
    </cfRule>
  </conditionalFormatting>
  <conditionalFormatting sqref="M30:Q30">
    <cfRule type="cellIs" priority="17" operator="notBetween" dxfId="1" stopIfTrue="1">
      <formula>M$31-$S$31</formula>
      <formula>M$31+$S$31</formula>
    </cfRule>
    <cfRule type="cellIs" priority="18" operator="notBetween" dxfId="0" stopIfTrue="1">
      <formula>M$31-$S$31*0.8</formula>
      <formula>M$31+$S$31*0.8</formula>
    </cfRule>
  </conditionalFormatting>
  <conditionalFormatting sqref="M31:Q31">
    <cfRule type="cellIs" priority="15" operator="notBetween" dxfId="1" stopIfTrue="1">
      <formula>M$35-$S$35</formula>
      <formula>M$35+$S$35</formula>
    </cfRule>
    <cfRule type="cellIs" priority="16" operator="notBetween" dxfId="0" stopIfTrue="1">
      <formula>M$35-$S$35*0.8</formula>
      <formula>M$35+$S$35*0.8</formula>
    </cfRule>
  </conditionalFormatting>
  <conditionalFormatting sqref="M34:Q34">
    <cfRule type="cellIs" priority="13" operator="notBetween" dxfId="1" stopIfTrue="1">
      <formula>M$39-$S$39</formula>
      <formula>M$39+$S$39</formula>
    </cfRule>
    <cfRule type="cellIs" priority="14" operator="notBetween" dxfId="0" stopIfTrue="1">
      <formula>M$39-$S$39*0.8</formula>
      <formula>M$39+$S$39*0.8</formula>
    </cfRule>
  </conditionalFormatting>
  <conditionalFormatting sqref="M36:Q36">
    <cfRule type="cellIs" priority="11" operator="notBetween" dxfId="1" stopIfTrue="1">
      <formula>M$57-$S$57</formula>
      <formula>M$57+$S$57</formula>
    </cfRule>
    <cfRule type="cellIs" priority="12" operator="notBetween" dxfId="0" stopIfTrue="1">
      <formula>M$57-$S$57*0.8</formula>
      <formula>M$57+$S$57*0.8</formula>
    </cfRule>
  </conditionalFormatting>
  <conditionalFormatting sqref="M37:Q37">
    <cfRule type="cellIs" priority="9" operator="notBetween" dxfId="1" stopIfTrue="1">
      <formula>M$59-$S$59</formula>
      <formula>M$59+$S$59</formula>
    </cfRule>
    <cfRule type="cellIs" priority="10" operator="notBetween" dxfId="0" stopIfTrue="1">
      <formula>M$59-$S$59*0.8</formula>
      <formula>M$59+$S$59*0.8</formula>
    </cfRule>
  </conditionalFormatting>
  <conditionalFormatting sqref="M38:Q38">
    <cfRule type="cellIs" priority="7" operator="notBetween" dxfId="1" stopIfTrue="1">
      <formula>M$61-$S$61</formula>
      <formula>M$61+$S$61</formula>
    </cfRule>
    <cfRule type="cellIs" priority="8" operator="notBetween" dxfId="0" stopIfTrue="1">
      <formula>M$61-$S$61*0.8</formula>
      <formula>M$61+$S$61*0.8</formula>
    </cfRule>
  </conditionalFormatting>
  <conditionalFormatting sqref="M18:Q18 M32:Q33">
    <cfRule type="cellIs" priority="65" operator="notBetween" dxfId="1" stopIfTrue="1">
      <formula>#REF!-#REF!</formula>
      <formula>#REF!+#REF!</formula>
    </cfRule>
    <cfRule type="cellIs" priority="66" operator="notBetween" dxfId="0" stopIfTrue="1">
      <formula>#REF!-#REF!*0.8</formula>
      <formula>#REF!+#REF!*0.8</formula>
    </cfRule>
  </conditionalFormatting>
  <conditionalFormatting sqref="M40:Q42">
    <cfRule type="cellIs" priority="5" operator="notBetween" dxfId="1" stopIfTrue="1">
      <formula>M$11-$S$11</formula>
      <formula>M$11+$S$11</formula>
    </cfRule>
    <cfRule type="cellIs" priority="6" operator="notBetween" dxfId="0" stopIfTrue="1">
      <formula>M$11-$S$11*0.8</formula>
      <formula>M$11+$S$11*0.8</formula>
    </cfRule>
    <cfRule type="cellIs" priority="3" operator="notBetween" dxfId="1" stopIfTrue="1">
      <formula>M$61-$S$61</formula>
      <formula>M$61+$S$61</formula>
    </cfRule>
    <cfRule type="cellIs" priority="4" operator="notBetween" dxfId="0" stopIfTrue="1">
      <formula>M$61-$S$61*0.8</formula>
      <formula>M$61+$S$61*0.8</formula>
    </cfRule>
  </conditionalFormatting>
  <conditionalFormatting sqref="M44:Q46">
    <cfRule type="cellIs" priority="1" operator="notBetween" dxfId="1" stopIfTrue="1">
      <formula>M$9-5</formula>
      <formula>M$9+5</formula>
    </cfRule>
    <cfRule type="cellIs" priority="2" operator="notBetween" dxfId="0" stopIfTrue="1">
      <formula>M$9-4</formula>
      <formula>M$9+4</formula>
    </cfRule>
  </conditionalFormatting>
  <conditionalFormatting sqref="M35:Q35">
    <cfRule type="cellIs" priority="67" operator="notBetween" dxfId="1" stopIfTrue="1">
      <formula>#REF!-#REF!</formula>
      <formula>#REF!+#REF!</formula>
    </cfRule>
    <cfRule type="cellIs" priority="68" operator="notBetween" dxfId="0" stopIfTrue="1">
      <formula>#REF!-#REF!*0.8</formula>
      <formula>#REF!+#REF!*0.8</formula>
    </cfRule>
  </conditionalFormatting>
  <dataValidations count="1">
    <dataValidation sqref="Q8" showDropDown="0" showInputMessage="1" showErrorMessage="1" allowBlank="0" type="list">
      <formula1>"ST1 - TMA40522 (DEVT678),ST2 - TMA40523 (DEVT679),ST3 - TMA40524 (DEVT680),ST4 - TMA40525 (DEVT681),ST5 - TMA40526 (DEVT682),ST6 - TMA40532 (DEVT683),ST7 - TMA40533 (DEVT684),Cold Chamber - TMA56109 (DEVT709)"</formula1>
    </dataValidation>
  </dataValidations>
  <printOptions horizontalCentered="1" verticalCentered="1"/>
  <pageMargins left="0.3149606299212598" right="0.3149606299212598" top="0.3149606299212598" bottom="0.5118110236220472" header="0.3149606299212598" footer="0.3149606299212598"/>
  <pageSetup orientation="landscape" paperSize="9" scale="72" fitToHeight="0"/>
  <headerFooter>
    <oddHeader>&amp;L&amp;G&amp;RPerkins Engines Company Limited_x000a_Tixall Road_x000a_Stafford_x000a_ST16 3UB_x000a_United Kingdom_x000a__x000a_Tel: +44 (0)1785 215 700_x000a_Fax: +44 (0)1785 215 110</oddHeader>
    <oddFooter>&amp;CTest Bed Calibration Results page &amp;P of &amp;N&amp;R&amp;"Calibri"&amp;11&amp;K000000&amp;"Calibri,Regular"&amp;11&amp;K000000&amp;F_x000d_&amp;1#&amp;"Calibri"&amp;10 &amp;K737373_x000a_&amp;D&amp;LCaterpillar: Confidential Green</oddFooter>
    <evenHeader/>
    <evenFooter/>
    <firstHeader/>
    <firstFooter/>
  </headerFooter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A11"/>
  <sheetViews>
    <sheetView workbookViewId="0">
      <selection activeCell="A1" sqref="A1"/>
    </sheetView>
  </sheetViews>
  <sheetFormatPr baseColWidth="8" defaultRowHeight="15"/>
  <sheetData>
    <row r="1">
      <c r="A1" t="inlineStr">
        <is>
          <t xml:space="preserve">PTX 1 </t>
        </is>
      </c>
    </row>
    <row r="2">
      <c r="A2" t="inlineStr">
        <is>
          <t>PTX 2</t>
        </is>
      </c>
    </row>
    <row r="3">
      <c r="A3" t="inlineStr">
        <is>
          <t>PTX 3</t>
        </is>
      </c>
    </row>
    <row r="4">
      <c r="A4" t="inlineStr">
        <is>
          <t>PTX 4</t>
        </is>
      </c>
    </row>
    <row r="5">
      <c r="A5" t="inlineStr">
        <is>
          <t>PTX 5</t>
        </is>
      </c>
    </row>
    <row r="6">
      <c r="A6" t="inlineStr">
        <is>
          <t>PTX 16</t>
        </is>
      </c>
    </row>
    <row r="7">
      <c r="A7" t="inlineStr">
        <is>
          <t>PTX 18</t>
        </is>
      </c>
    </row>
    <row r="8">
      <c r="A8" t="inlineStr">
        <is>
          <t>PTX 23</t>
        </is>
      </c>
    </row>
    <row r="9">
      <c r="A9" t="inlineStr">
        <is>
          <t>PTX 25</t>
        </is>
      </c>
    </row>
    <row r="10">
      <c r="A10" t="inlineStr">
        <is>
          <t>PTX 29</t>
        </is>
      </c>
    </row>
    <row r="11">
      <c r="A11" t="inlineStr">
        <is>
          <t>PTX 30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Preferred Customer</dc:creator>
  <dcterms:created xsi:type="dcterms:W3CDTF">1998-11-23T16:05:40Z</dcterms:created>
  <dcterms:modified xsi:type="dcterms:W3CDTF">2023-04-18T11:14:26Z</dcterms:modified>
  <cp:lastModifiedBy>Cecil Dondo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0x010100E47443BD3D538C4AA7D2F2FF96252C7C</vt:lpwstr>
  </property>
  <property name="MSIP_Label_fb5e2db6-eecf-4aa2-8fc3-174bf94bce19_Enabled" fmtid="{D5CDD505-2E9C-101B-9397-08002B2CF9AE}" pid="3">
    <vt:lpwstr>true</vt:lpwstr>
  </property>
  <property name="MSIP_Label_fb5e2db6-eecf-4aa2-8fc3-174bf94bce19_SetDate" fmtid="{D5CDD505-2E9C-101B-9397-08002B2CF9AE}" pid="4">
    <vt:lpwstr>2023-03-31T07:30:00Z</vt:lpwstr>
  </property>
  <property name="MSIP_Label_fb5e2db6-eecf-4aa2-8fc3-174bf94bce19_Method" fmtid="{D5CDD505-2E9C-101B-9397-08002B2CF9AE}" pid="5">
    <vt:lpwstr>Standard</vt:lpwstr>
  </property>
  <property name="MSIP_Label_fb5e2db6-eecf-4aa2-8fc3-174bf94bce19_Name" fmtid="{D5CDD505-2E9C-101B-9397-08002B2CF9AE}" pid="6">
    <vt:lpwstr>fb5e2db6-eecf-4aa2-8fc3-174bf94bce19</vt:lpwstr>
  </property>
  <property name="MSIP_Label_fb5e2db6-eecf-4aa2-8fc3-174bf94bce19_SiteId" fmtid="{D5CDD505-2E9C-101B-9397-08002B2CF9AE}" pid="7">
    <vt:lpwstr>ceb177bf-013b-49ab-8a9c-4abce32afc1e</vt:lpwstr>
  </property>
  <property name="MSIP_Label_fb5e2db6-eecf-4aa2-8fc3-174bf94bce19_ActionId" fmtid="{D5CDD505-2E9C-101B-9397-08002B2CF9AE}" pid="8">
    <vt:lpwstr>176cdd82-4dfc-4ef1-bd1c-6b72af6e8120</vt:lpwstr>
  </property>
  <property name="MSIP_Label_fb5e2db6-eecf-4aa2-8fc3-174bf94bce19_ContentBits" fmtid="{D5CDD505-2E9C-101B-9397-08002B2CF9AE}" pid="9">
    <vt:lpwstr>2</vt:lpwstr>
  </property>
</Properties>
</file>